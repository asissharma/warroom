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iss\Downloads\"/>
    </mc:Choice>
  </mc:AlternateContent>
  <xr:revisionPtr revIDLastSave="0" documentId="13_ncr:1_{F073D298-06FF-4B65-A0B7-38E3FE57E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Tracker" sheetId="1" r:id="rId1"/>
    <sheet name="Weekly Reviews" sheetId="2" r:id="rId2"/>
    <sheet name="Metrics Dashboard" sheetId="3" r:id="rId3"/>
    <sheet name="Skills Gained" sheetId="4" r:id="rId4"/>
    <sheet name="Daily 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3" l="1"/>
  <c r="B37" i="3"/>
  <c r="B36" i="3"/>
  <c r="B35" i="3"/>
  <c r="B34" i="3"/>
  <c r="B33" i="3"/>
  <c r="B32" i="3"/>
  <c r="B11" i="3"/>
  <c r="B5" i="3"/>
  <c r="B2" i="3"/>
  <c r="B3" i="3" s="1"/>
</calcChain>
</file>

<file path=xl/sharedStrings.xml><?xml version="1.0" encoding="utf-8"?>
<sst xmlns="http://schemas.openxmlformats.org/spreadsheetml/2006/main" count="1885" uniqueCount="1330">
  <si>
    <t>Day</t>
  </si>
  <si>
    <t>Status</t>
  </si>
  <si>
    <t>Date</t>
  </si>
  <si>
    <t>Phase</t>
  </si>
  <si>
    <t>Category</t>
  </si>
  <si>
    <t>Project</t>
  </si>
  <si>
    <t>Task (Description)</t>
  </si>
  <si>
    <t>Key Skills</t>
  </si>
  <si>
    <t>Why (Impact)</t>
  </si>
  <si>
    <t>Difficulty</t>
  </si>
  <si>
    <t>Time</t>
  </si>
  <si>
    <t>Started</t>
  </si>
  <si>
    <t>Completed</t>
  </si>
  <si>
    <t>GitHub Link</t>
  </si>
  <si>
    <t>Content Posted</t>
  </si>
  <si>
    <t>Key Learning</t>
  </si>
  <si>
    <t>Notes</t>
  </si>
  <si>
    <t>1</t>
  </si>
  <si>
    <t>Foundation</t>
  </si>
  <si>
    <t>CLI &amp; Automation</t>
  </si>
  <si>
    <t>Advanced Development Environment Setup</t>
  </si>
  <si>
    <t>Automate entire dev environment in one command</t>
  </si>
  <si>
    <t>Bash, dotfiles, automation scripts</t>
  </si>
  <si>
    <t>New developer onboarding at scale</t>
  </si>
  <si>
    <t>⭐⭐</t>
  </si>
  <si>
    <t>8h</t>
  </si>
  <si>
    <t>2</t>
  </si>
  <si>
    <t>Cross-Platform System Monitor</t>
  </si>
  <si>
    <t>Monitor CPU, memory, disk across Linux/Mac/Windows</t>
  </si>
  <si>
    <t>Node.js CLI, system APIs, real-time display</t>
  </si>
  <si>
    <t>Production system monitoring</t>
  </si>
  <si>
    <t>10h</t>
  </si>
  <si>
    <t>3</t>
  </si>
  <si>
    <t>Intelligent Log Aggregator</t>
  </si>
  <si>
    <t>Parse logs from multiple services, detect patterns, trigger alerts</t>
  </si>
  <si>
    <t>Stream processing, regex, alert triggers</t>
  </si>
  <si>
    <t>Production log analysis at scale</t>
  </si>
  <si>
    <t>⭐⭐⭐</t>
  </si>
  <si>
    <t>12h</t>
  </si>
  <si>
    <t>4</t>
  </si>
  <si>
    <t>Deployment Automation Pipeline</t>
  </si>
  <si>
    <t>One-command deploy with automatic rollback on failure</t>
  </si>
  <si>
    <t>SSH, Git hooks, rollback mechanisms</t>
  </si>
  <si>
    <t>Production deployment automation</t>
  </si>
  <si>
    <t>5</t>
  </si>
  <si>
    <t>CLI Task Scheduler with Cron++</t>
  </si>
  <si>
    <t>Schedule tasks with dependencies, retries, and notifications</t>
  </si>
  <si>
    <t>Advanced cron, job dependencies, failure handling</t>
  </si>
  <si>
    <t>Background job orchestration</t>
  </si>
  <si>
    <t>6</t>
  </si>
  <si>
    <t>Git &amp; Collaboration</t>
  </si>
  <si>
    <t>Automated Code Review Bot</t>
  </si>
  <si>
    <t>Automatically review PRs for style, security, performance</t>
  </si>
  <si>
    <t>GitHub API, AST parsing, linting rules</t>
  </si>
  <si>
    <t>Engineering productivity tools</t>
  </si>
  <si>
    <t>14h</t>
  </si>
  <si>
    <t>7</t>
  </si>
  <si>
    <t>Intelligent Release Note Generator</t>
  </si>
  <si>
    <t>Generate release notes from commits with categorization</t>
  </si>
  <si>
    <t>Git history analysis, semantic versioning, changelog</t>
  </si>
  <si>
    <t>Release engineering automation</t>
  </si>
  <si>
    <t>8</t>
  </si>
  <si>
    <t>Team Productivity Dashboard</t>
  </si>
  <si>
    <t>Track velocity, PR turnaround, code churn across teams</t>
  </si>
  <si>
    <t>GitHub API, contribution metrics, visualization</t>
  </si>
  <si>
    <t>Engineering management insights</t>
  </si>
  <si>
    <t>9</t>
  </si>
  <si>
    <t>Merge Conflict Resolution Assistant</t>
  </si>
  <si>
    <t>Guide developers through conflicts with context and suggestions</t>
  </si>
  <si>
    <t>Git internals, diff algorithms, interactive CLI</t>
  </si>
  <si>
    <t>Developer productivity enhancement</t>
  </si>
  <si>
    <t>10</t>
  </si>
  <si>
    <t>Monorepo Management Tool</t>
  </si>
  <si>
    <t>Manage multiple projects with dependency tracking</t>
  </si>
  <si>
    <t>Git submodules, workspace management, build orchestration</t>
  </si>
  <si>
    <t>Large-scale codebase management</t>
  </si>
  <si>
    <t>⭐⭐⭐⭐</t>
  </si>
  <si>
    <t>16h</t>
  </si>
  <si>
    <t>11</t>
  </si>
  <si>
    <t>JavaScript Core</t>
  </si>
  <si>
    <t>Advanced Promise Scheduler</t>
  </si>
  <si>
    <t>Execute promises with rate limiting, priority, and retry logic</t>
  </si>
  <si>
    <t>Promises, async patterns, concurrency control</t>
  </si>
  <si>
    <t>Rate-limited API clients</t>
  </si>
  <si>
    <t>12</t>
  </si>
  <si>
    <t>Event Loop Visualizer</t>
  </si>
  <si>
    <t>Interactive visualization of JS event loop execution</t>
  </si>
  <si>
    <t>Browser APIs, microtasks, macrotasks, animation</t>
  </si>
  <si>
    <t>Teaching tool for JS fundamentals</t>
  </si>
  <si>
    <t>13</t>
  </si>
  <si>
    <t>Memory Leak Detector</t>
  </si>
  <si>
    <t>Automatically detect and report memory leaks in Node apps</t>
  </si>
  <si>
    <t>Chrome DevTools Protocol, heap snapshots, profiling</t>
  </si>
  <si>
    <t>Production performance debugging</t>
  </si>
  <si>
    <t>14</t>
  </si>
  <si>
    <t>Custom Reactive System</t>
  </si>
  <si>
    <t>Build React-like reactivity from scratch</t>
  </si>
  <si>
    <t>Observers, proxies, dependency tracking</t>
  </si>
  <si>
    <t>Framework internals understanding</t>
  </si>
  <si>
    <t>15</t>
  </si>
  <si>
    <t>Module Bundler Mini</t>
  </si>
  <si>
    <t>Simple bundler supporting ES6 modules and tree-shaking</t>
  </si>
  <si>
    <t>Module resolution, dependency graphs, code transformation</t>
  </si>
  <si>
    <t>Build tool internals</t>
  </si>
  <si>
    <t>18h</t>
  </si>
  <si>
    <t>16</t>
  </si>
  <si>
    <t>Backend Basics</t>
  </si>
  <si>
    <t>Production HTTP Server</t>
  </si>
  <si>
    <t>HTTP server with clustering, health checks, and metrics</t>
  </si>
  <si>
    <t>HTTP/2, connection pooling, graceful shutdown</t>
  </si>
  <si>
    <t>Production backend infrastructure</t>
  </si>
  <si>
    <t>17</t>
  </si>
  <si>
    <t>RESTful API with OpenAPI</t>
  </si>
  <si>
    <t>Fully documented REST API with auto-generated client SDKs</t>
  </si>
  <si>
    <t>Express, Swagger/OpenAPI, validation, versioning</t>
  </si>
  <si>
    <t>API-first development</t>
  </si>
  <si>
    <t>18</t>
  </si>
  <si>
    <t>Advanced JWT Authentication</t>
  </si>
  <si>
    <t>Secure auth with access/refresh tokens and revocation</t>
  </si>
  <si>
    <t>JWT, refresh tokens, token rotation, session management</t>
  </si>
  <si>
    <t>Secure user authentication</t>
  </si>
  <si>
    <t>19</t>
  </si>
  <si>
    <t>API Gateway with Rate Limiting</t>
  </si>
  <si>
    <t>Gateway with per-user limits, quota management, and analytics</t>
  </si>
  <si>
    <t>Reverse proxy, rate limiting algorithms, circuit breakers</t>
  </si>
  <si>
    <t>API infrastructure layer</t>
  </si>
  <si>
    <t>20</t>
  </si>
  <si>
    <t>Distributed Request Tracing</t>
  </si>
  <si>
    <t>Trace requests across services with timing and errors</t>
  </si>
  <si>
    <t>OpenTelemetry, trace context propagation, Jaeger</t>
  </si>
  <si>
    <t>Production debugging tool</t>
  </si>
  <si>
    <t>21</t>
  </si>
  <si>
    <t>Backend Advanced</t>
  </si>
  <si>
    <t>Event-Driven Microservices</t>
  </si>
  <si>
    <t>Microservices communicating via events with compensation</t>
  </si>
  <si>
    <t>Event sourcing, message queues, saga pattern</t>
  </si>
  <si>
    <t>Modern microservices architecture</t>
  </si>
  <si>
    <t>20h</t>
  </si>
  <si>
    <t>22</t>
  </si>
  <si>
    <t>CQRS Implementation</t>
  </si>
  <si>
    <t>Separate read and write paths for scalability</t>
  </si>
  <si>
    <t>Command-Query separation, read/write models, eventual consistency</t>
  </si>
  <si>
    <t>High-scale data systems</t>
  </si>
  <si>
    <t>23</t>
  </si>
  <si>
    <t>GraphQL Federation Gateway</t>
  </si>
  <si>
    <t>Unified GraphQL API across multiple services</t>
  </si>
  <si>
    <t>GraphQL, schema stitching, federation, caching</t>
  </si>
  <si>
    <t>Modern API architecture</t>
  </si>
  <si>
    <t>24</t>
  </si>
  <si>
    <t>Background Job System</t>
  </si>
  <si>
    <t>Robust background processing with monitoring</t>
  </si>
  <si>
    <t>Bull/BullMQ, job priorities, retries, dead letter queues</t>
  </si>
  <si>
    <t>Async task processing</t>
  </si>
  <si>
    <t>25</t>
  </si>
  <si>
    <t>Webhook Management System</t>
  </si>
  <si>
    <t>Reliable webhook delivery with subscriber management</t>
  </si>
  <si>
    <t>Webhook delivery, retries, signature verification, replay protection</t>
  </si>
  <si>
    <t>Third-party integrations</t>
  </si>
  <si>
    <t>26</t>
  </si>
  <si>
    <t>Databases</t>
  </si>
  <si>
    <t>Advanced Connection Pooling</t>
  </si>
  <si>
    <t>Optimized pooling for high-concurrency workloads</t>
  </si>
  <si>
    <t>Connection lifecycle, pool sizing, connection draining</t>
  </si>
  <si>
    <t>Production database performance</t>
  </si>
  <si>
    <t>27</t>
  </si>
  <si>
    <t>Query Performance Analyzer</t>
  </si>
  <si>
    <t>Automatically detect and fix slow queries</t>
  </si>
  <si>
    <t>EXPLAIN plans, index recommendations, query optimization</t>
  </si>
  <si>
    <t>Database performance tuning</t>
  </si>
  <si>
    <t>28</t>
  </si>
  <si>
    <t>Multi-Tenant Architecture</t>
  </si>
  <si>
    <t>Secure multi-tenant data isolation strategies</t>
  </si>
  <si>
    <t>Row-level security, schema isolation, tenant routing</t>
  </si>
  <si>
    <t>SaaS architecture foundation</t>
  </si>
  <si>
    <t>29</t>
  </si>
  <si>
    <t>Database Replication Manager</t>
  </si>
  <si>
    <t>Automated replication with health checks and failover</t>
  </si>
  <si>
    <t>Master-slave replication, read replicas, failover automation</t>
  </si>
  <si>
    <t>High-availability databases</t>
  </si>
  <si>
    <t>30</t>
  </si>
  <si>
    <t>Time-Series Database</t>
  </si>
  <si>
    <t>Custom time-series DB for metrics and logs</t>
  </si>
  <si>
    <t>Time-series optimization, downsampling, retention policies</t>
  </si>
  <si>
    <t>Metrics storage system</t>
  </si>
  <si>
    <t>22h</t>
  </si>
  <si>
    <t>31</t>
  </si>
  <si>
    <t>Distributed</t>
  </si>
  <si>
    <t>Distributed Systems</t>
  </si>
  <si>
    <t>Consistent Hashing Ring</t>
  </si>
  <si>
    <t>Distribute data across nodes with minimal rebalancing</t>
  </si>
  <si>
    <t>Consistent hashing, virtual nodes, load balancing</t>
  </si>
  <si>
    <t>Data partitioning at scale</t>
  </si>
  <si>
    <t>32</t>
  </si>
  <si>
    <t>Leader Election System</t>
  </si>
  <si>
    <t>Elect leader in distributed system with fault tolerance</t>
  </si>
  <si>
    <t>Raft/Paxos, consensus, split-brain prevention</t>
  </si>
  <si>
    <t>Distributed coordination</t>
  </si>
  <si>
    <t>⭐⭐⭐⭐⭐</t>
  </si>
  <si>
    <t>24h</t>
  </si>
  <si>
    <t>33</t>
  </si>
  <si>
    <t>Distributed Lock Manager</t>
  </si>
  <si>
    <t>Coordinate access to shared resources across nodes</t>
  </si>
  <si>
    <t>Distributed locks, deadlock detection, lease management</t>
  </si>
  <si>
    <t>Distributed synchronization</t>
  </si>
  <si>
    <t>34</t>
  </si>
  <si>
    <t>Message Queue from Scratch</t>
  </si>
  <si>
    <t>Build Kafka-like message queue with guarantees</t>
  </si>
  <si>
    <t>Pub/sub, persistent queue, consumer groups, offset management</t>
  </si>
  <si>
    <t>Event-driven systems backbone</t>
  </si>
  <si>
    <t>28h</t>
  </si>
  <si>
    <t>35</t>
  </si>
  <si>
    <t>Distributed Rate Limiter</t>
  </si>
  <si>
    <t>Rate limiting across multiple servers</t>
  </si>
  <si>
    <t>Token bucket, leaky bucket, distributed counters, Redis</t>
  </si>
  <si>
    <t>API protection at scale</t>
  </si>
  <si>
    <t>36</t>
  </si>
  <si>
    <t>Observability</t>
  </si>
  <si>
    <t>Metrics Collection Pipeline</t>
  </si>
  <si>
    <t>Collect and aggregate metrics from 1000s of services</t>
  </si>
  <si>
    <t>Prometheus, StatsD, time-series aggregation</t>
  </si>
  <si>
    <t>Production monitoring foundation</t>
  </si>
  <si>
    <t>37</t>
  </si>
  <si>
    <t>Distributed Tracing System</t>
  </si>
  <si>
    <t>Full distributed tracing with dependency graphs</t>
  </si>
  <si>
    <t>OpenTelemetry, span collection, trace visualization</t>
  </si>
  <si>
    <t>Microservices debugging</t>
  </si>
  <si>
    <t>38</t>
  </si>
  <si>
    <t>Log Aggregation Platform</t>
  </si>
  <si>
    <t>Centralized logging for distributed systems</t>
  </si>
  <si>
    <t>Log shipping, indexing, search, retention</t>
  </si>
  <si>
    <t>Production log management</t>
  </si>
  <si>
    <t>39</t>
  </si>
  <si>
    <t>SLO Tracking &amp; Alerting</t>
  </si>
  <si>
    <t>Track reliability targets and alert on violations</t>
  </si>
  <si>
    <t>SLI/SLO/SLA, error budgets, burn rate</t>
  </si>
  <si>
    <t>Site reliability engineering</t>
  </si>
  <si>
    <t>40</t>
  </si>
  <si>
    <t>Custom APM System</t>
  </si>
  <si>
    <t>Track application performance in production</t>
  </si>
  <si>
    <t>Application performance monitoring, profiling, bottleneck detection</t>
  </si>
  <si>
    <t>Performance monitoring</t>
  </si>
  <si>
    <t>26h</t>
  </si>
  <si>
    <t>41</t>
  </si>
  <si>
    <t>Performance</t>
  </si>
  <si>
    <t>Load Testing Framework</t>
  </si>
  <si>
    <t>Generate millions of requests to find breaking points</t>
  </si>
  <si>
    <t>k6, custom metrics, distributed load generation</t>
  </si>
  <si>
    <t>Performance testing</t>
  </si>
  <si>
    <t>42</t>
  </si>
  <si>
    <t>Tail Latency Analyzer</t>
  </si>
  <si>
    <t>Identify sources of tail latency in production</t>
  </si>
  <si>
    <t>P95/P99 analysis, latency breakdown, profiling</t>
  </si>
  <si>
    <t>Performance optimization</t>
  </si>
  <si>
    <t>43</t>
  </si>
  <si>
    <t>Backpressure Handler</t>
  </si>
  <si>
    <t>Prevent system overload with backpressure mechanisms</t>
  </si>
  <si>
    <t>Flow control, buffering, circuit breakers</t>
  </si>
  <si>
    <t>System stability</t>
  </si>
  <si>
    <t>44</t>
  </si>
  <si>
    <t>Resource Usage Profiler</t>
  </si>
  <si>
    <t>Continuous profiling in production</t>
  </si>
  <si>
    <t>CPU/memory profiling, flame graphs, bottleneck identification</t>
  </si>
  <si>
    <t>Production profiling</t>
  </si>
  <si>
    <t>45</t>
  </si>
  <si>
    <t>Cache Optimization System</t>
  </si>
  <si>
    <t>Intelligent caching with optimal hit rates</t>
  </si>
  <si>
    <t>Multi-level caching, invalidation strategies, cache coherence</t>
  </si>
  <si>
    <t>Performance acceleration</t>
  </si>
  <si>
    <t>46</t>
  </si>
  <si>
    <t>Resilience</t>
  </si>
  <si>
    <t>Circuit Breaker Implementation</t>
  </si>
  <si>
    <t>Prevent cascading failures with circuit breakers</t>
  </si>
  <si>
    <t>Circuit breaker pattern, failure detection, recovery</t>
  </si>
  <si>
    <t>System resilience</t>
  </si>
  <si>
    <t>47</t>
  </si>
  <si>
    <t>Retry &amp; Timeout Manager</t>
  </si>
  <si>
    <t>Intelligent retries without overwhelming downstream</t>
  </si>
  <si>
    <t>Exponential backoff, jitter, timeout strategies</t>
  </si>
  <si>
    <t>Resilient API calls</t>
  </si>
  <si>
    <t>48</t>
  </si>
  <si>
    <t>Chaos Engineering Platform</t>
  </si>
  <si>
    <t>Test system resilience by injecting failures</t>
  </si>
  <si>
    <t>Fault injection, blast radius control, experiment tracking</t>
  </si>
  <si>
    <t>Production resilience testing</t>
  </si>
  <si>
    <t>49</t>
  </si>
  <si>
    <t>Disaster Recovery System</t>
  </si>
  <si>
    <t>Automated disaster recovery with testing</t>
  </si>
  <si>
    <t>Backup/restore, cross-region replication, RTO/RPO</t>
  </si>
  <si>
    <t>Business continuity</t>
  </si>
  <si>
    <t>50</t>
  </si>
  <si>
    <t>Bulkhead Pattern Isolation</t>
  </si>
  <si>
    <t>Isolate failures to prevent total system collapse</t>
  </si>
  <si>
    <t>Resource isolation, thread pools, connection limits</t>
  </si>
  <si>
    <t>Fault containment</t>
  </si>
  <si>
    <t>51</t>
  </si>
  <si>
    <t>Cloud</t>
  </si>
  <si>
    <t>Containers</t>
  </si>
  <si>
    <t>Multi-Stage Docker Builds</t>
  </si>
  <si>
    <t>Minimal production images with security best practices</t>
  </si>
  <si>
    <t>Layer optimization, build caching, security scanning</t>
  </si>
  <si>
    <t>Container optimization</t>
  </si>
  <si>
    <t>52</t>
  </si>
  <si>
    <t>Container Security Scanner</t>
  </si>
  <si>
    <t>Scan images for CVEs and policy violations</t>
  </si>
  <si>
    <t>Vulnerability scanning, compliance checks, policy enforcement</t>
  </si>
  <si>
    <t>Security automation</t>
  </si>
  <si>
    <t>53</t>
  </si>
  <si>
    <t>Private Container Registry</t>
  </si>
  <si>
    <t>Self-hosted registry with authentication</t>
  </si>
  <si>
    <t>Image storage, access control, garbage collection</t>
  </si>
  <si>
    <t>Container infrastructure</t>
  </si>
  <si>
    <t>54</t>
  </si>
  <si>
    <t>Container Orchestration Mini</t>
  </si>
  <si>
    <t>Simple container orchestrator understanding fundamentals</t>
  </si>
  <si>
    <t>Scheduling, health checks, rolling updates</t>
  </si>
  <si>
    <t>Container management</t>
  </si>
  <si>
    <t>55</t>
  </si>
  <si>
    <t>Image Build Optimization</t>
  </si>
  <si>
    <t>Speed up image builds by 10x</t>
  </si>
  <si>
    <t>Build parallelization, caching strategies, layer analysis</t>
  </si>
  <si>
    <t>CI/CD optimization</t>
  </si>
  <si>
    <t>56</t>
  </si>
  <si>
    <t>Kubernetes</t>
  </si>
  <si>
    <t>Custom K8s Operator</t>
  </si>
  <si>
    <t>Build operator to manage custom resources</t>
  </si>
  <si>
    <t>Operator pattern, CRDs, reconciliation loop</t>
  </si>
  <si>
    <t>Kubernetes automation</t>
  </si>
  <si>
    <t>57</t>
  </si>
  <si>
    <t>HPA with Custom Metrics</t>
  </si>
  <si>
    <t>Scale based on application-specific metrics</t>
  </si>
  <si>
    <t>Horizontal autoscaling, custom metrics, KEDA</t>
  </si>
  <si>
    <t>Dynamic scaling</t>
  </si>
  <si>
    <t>58</t>
  </si>
  <si>
    <t>GitOps Deployment Pipeline</t>
  </si>
  <si>
    <t>Automated deployments from Git with rollback</t>
  </si>
  <si>
    <t>ArgoCD, Flux, declarative deployments</t>
  </si>
  <si>
    <t>Modern deployment</t>
  </si>
  <si>
    <t>59</t>
  </si>
  <si>
    <t>Service Mesh Implementation</t>
  </si>
  <si>
    <t>Advanced service-to-service communication</t>
  </si>
  <si>
    <t>Istio/Linkerd, traffic management, mTLS</t>
  </si>
  <si>
    <t>Microservices networking</t>
  </si>
  <si>
    <t>60</t>
  </si>
  <si>
    <t>K8s Backup &amp; Disaster Recovery</t>
  </si>
  <si>
    <t>Complete cluster backup and recovery solution</t>
  </si>
  <si>
    <t>Velero, state backup, cluster migration</t>
  </si>
  <si>
    <t>Cluster resilience</t>
  </si>
  <si>
    <t>61</t>
  </si>
  <si>
    <t>Cloud Platforms</t>
  </si>
  <si>
    <t>Multi-Cloud Abstraction Layer</t>
  </si>
  <si>
    <t>Write once, deploy to AWS/GCP/Azure</t>
  </si>
  <si>
    <t>Cloud-agnostic APIs, provider abstractions</t>
  </si>
  <si>
    <t>Cloud portability</t>
  </si>
  <si>
    <t>62</t>
  </si>
  <si>
    <t>Cloud Cost Optimizer</t>
  </si>
  <si>
    <t>Automatically optimize cloud spending</t>
  </si>
  <si>
    <t>Resource utilization, right-sizing, waste detection</t>
  </si>
  <si>
    <t>FinOps automation</t>
  </si>
  <si>
    <t>63</t>
  </si>
  <si>
    <t>Serverless Framework</t>
  </si>
  <si>
    <t>Deploy serverless apps with monitoring</t>
  </si>
  <si>
    <t>Function deployment, event triggers, cold start optimization</t>
  </si>
  <si>
    <t>Serverless deployment</t>
  </si>
  <si>
    <t>64</t>
  </si>
  <si>
    <t>Cloud Resource Manager</t>
  </si>
  <si>
    <t>Track and manage cloud resources at scale</t>
  </si>
  <si>
    <t>Inventory tracking, tagging, compliance</t>
  </si>
  <si>
    <t>Cloud governance</t>
  </si>
  <si>
    <t>65</t>
  </si>
  <si>
    <t>Hybrid Cloud Bridge</t>
  </si>
  <si>
    <t>Seamlessly connect on-premises and cloud</t>
  </si>
  <si>
    <t>On-prem to cloud, VPN/VPC setup, hybrid deployment</t>
  </si>
  <si>
    <t>Hybrid infrastructure</t>
  </si>
  <si>
    <t>66</t>
  </si>
  <si>
    <t>IaC</t>
  </si>
  <si>
    <t>Terraform Module Library</t>
  </si>
  <si>
    <t>Reusable infrastructure components</t>
  </si>
  <si>
    <t>Module composition, versioning, testing</t>
  </si>
  <si>
    <t>Infrastructure reusability</t>
  </si>
  <si>
    <t>67</t>
  </si>
  <si>
    <t>State Management System</t>
  </si>
  <si>
    <t>Manage Terraform state at enterprise scale</t>
  </si>
  <si>
    <t>State locking, versioning, encryption</t>
  </si>
  <si>
    <t>IaC state management</t>
  </si>
  <si>
    <t>68</t>
  </si>
  <si>
    <t>Infrastructure Testing Framework</t>
  </si>
  <si>
    <t>Test infrastructure before deployment</t>
  </si>
  <si>
    <t>Terratest, compliance testing, drift detection</t>
  </si>
  <si>
    <t>IaC quality assurance</t>
  </si>
  <si>
    <t>69</t>
  </si>
  <si>
    <t>Policy as Code Engine</t>
  </si>
  <si>
    <t>Enforce policies on infrastructure changes</t>
  </si>
  <si>
    <t>OPA, policy enforcement, compliance rules</t>
  </si>
  <si>
    <t>Infrastructure governance</t>
  </si>
  <si>
    <t>70</t>
  </si>
  <si>
    <t>Infrastructure CI/CD Pipeline</t>
  </si>
  <si>
    <t>Full CI/CD for infrastructure changes</t>
  </si>
  <si>
    <t>Automated testing, staged rollouts, approval gates</t>
  </si>
  <si>
    <t>Infrastructure automation</t>
  </si>
  <si>
    <t>71</t>
  </si>
  <si>
    <t>Security</t>
  </si>
  <si>
    <t>App Security</t>
  </si>
  <si>
    <t>Input Sanitization Engine</t>
  </si>
  <si>
    <t>Prevent injection attacks with comprehensive sanitization</t>
  </si>
  <si>
    <t>XSS/SQLi prevention, validation, encoding</t>
  </si>
  <si>
    <t>Application security layer</t>
  </si>
  <si>
    <t>72</t>
  </si>
  <si>
    <t>OAuth2 Provider Implementation</t>
  </si>
  <si>
    <t>Build complete OAuth2 authorization server</t>
  </si>
  <si>
    <t>OAuth2 flows, PKCE, token management</t>
  </si>
  <si>
    <t>Identity provider</t>
  </si>
  <si>
    <t>73</t>
  </si>
  <si>
    <t>CSRF &amp; Clickjacking Protection</t>
  </si>
  <si>
    <t>Comprehensive protection against web attacks</t>
  </si>
  <si>
    <t>CSRF tokens, SameSite cookies, CSP headers</t>
  </si>
  <si>
    <t>Web security hardening</t>
  </si>
  <si>
    <t>74</t>
  </si>
  <si>
    <t>API Security Gateway</t>
  </si>
  <si>
    <t>Comprehensive API protection layer</t>
  </si>
  <si>
    <t>API keys, OAuth, rate limiting, threat detection</t>
  </si>
  <si>
    <t>API protection</t>
  </si>
  <si>
    <t>75</t>
  </si>
  <si>
    <t>Secret Scanning Tool</t>
  </si>
  <si>
    <t>Detect secrets in code before commit</t>
  </si>
  <si>
    <t>Regex patterns, Git hooks, CI integration</t>
  </si>
  <si>
    <t>76</t>
  </si>
  <si>
    <t>Infra Security</t>
  </si>
  <si>
    <t>Zero-Trust Network Gateway</t>
  </si>
  <si>
    <t>Zero-trust access to internal resources</t>
  </si>
  <si>
    <t>Identity verification, least privilege, micro-segmentation</t>
  </si>
  <si>
    <t>Network security</t>
  </si>
  <si>
    <t>77</t>
  </si>
  <si>
    <t>Vulnerability Management System</t>
  </si>
  <si>
    <t>Track and remediate vulnerabilities across infrastructure</t>
  </si>
  <si>
    <t>CVE tracking, patch management, risk scoring</t>
  </si>
  <si>
    <t>Security operations</t>
  </si>
  <si>
    <t>78</t>
  </si>
  <si>
    <t>Secrets Management Vault</t>
  </si>
  <si>
    <t>HashiCorp Vault-like secrets management</t>
  </si>
  <si>
    <t>Encryption at rest, key rotation, access control</t>
  </si>
  <si>
    <t>Secrets infrastructure</t>
  </si>
  <si>
    <t>79</t>
  </si>
  <si>
    <t>Security Monitoring &amp; SIEM</t>
  </si>
  <si>
    <t>Detect security threats in real-time</t>
  </si>
  <si>
    <t>Log analysis, threat detection, incident response</t>
  </si>
  <si>
    <t>Security operations center</t>
  </si>
  <si>
    <t>80</t>
  </si>
  <si>
    <t>Network Security Scanner</t>
  </si>
  <si>
    <t>Automated security assessment of infrastructure</t>
  </si>
  <si>
    <t>Port scanning, service detection, vulnerability assessment</t>
  </si>
  <si>
    <t>Security assessment</t>
  </si>
  <si>
    <t>81</t>
  </si>
  <si>
    <t>Compliance</t>
  </si>
  <si>
    <t>GDPR Compliance Toolkit</t>
  </si>
  <si>
    <t>Automate GDPR compliance requirements</t>
  </si>
  <si>
    <t>Data mapping, consent management, deletion workflows</t>
  </si>
  <si>
    <t>Privacy compliance</t>
  </si>
  <si>
    <t>82</t>
  </si>
  <si>
    <t>Audit Log System</t>
  </si>
  <si>
    <t>Immutable audit trail for compliance</t>
  </si>
  <si>
    <t>Tamper-evident logs, cryptographic verification</t>
  </si>
  <si>
    <t>Compliance logging</t>
  </si>
  <si>
    <t>83</t>
  </si>
  <si>
    <t>Policy Engine &amp; Enforcement</t>
  </si>
  <si>
    <t>Centralized policy management and enforcement</t>
  </si>
  <si>
    <t>Policy definition, evaluation, enforcement</t>
  </si>
  <si>
    <t>Governance automation</t>
  </si>
  <si>
    <t>84</t>
  </si>
  <si>
    <t>Compliance Reporting Dashboard</t>
  </si>
  <si>
    <t>Automated compliance report generation</t>
  </si>
  <si>
    <t>SOC2/ISO27001 reports, evidence collection</t>
  </si>
  <si>
    <t>Compliance operations</t>
  </si>
  <si>
    <t>85</t>
  </si>
  <si>
    <t>Data Classification System</t>
  </si>
  <si>
    <t>Automatically classify and protect sensitive data</t>
  </si>
  <si>
    <t>PII detection, sensitivity labeling, access policies</t>
  </si>
  <si>
    <t>Data protection</t>
  </si>
  <si>
    <t>86</t>
  </si>
  <si>
    <t>Cryptography</t>
  </si>
  <si>
    <t>End-to-End Encryption System</t>
  </si>
  <si>
    <t>WhatsApp-style E2E encryption</t>
  </si>
  <si>
    <t>E2EE, key exchange, forward secrecy</t>
  </si>
  <si>
    <t>Secure messaging</t>
  </si>
  <si>
    <t>87</t>
  </si>
  <si>
    <t>Key Management Service</t>
  </si>
  <si>
    <t>Enterprise key lifecycle management</t>
  </si>
  <si>
    <t>Key generation, rotation, HSM integration</t>
  </si>
  <si>
    <t>Cryptographic infrastructure</t>
  </si>
  <si>
    <t>88</t>
  </si>
  <si>
    <t>Digital Signature System</t>
  </si>
  <si>
    <t>Document signing with non-repudiation</t>
  </si>
  <si>
    <t>Signing, verification, certificate chains</t>
  </si>
  <si>
    <t>Trust infrastructure</t>
  </si>
  <si>
    <t>89</t>
  </si>
  <si>
    <t>Zero-Knowledge Proof System</t>
  </si>
  <si>
    <t>Prove knowledge without revealing data</t>
  </si>
  <si>
    <t>ZK-SNARKs, privacy-preserving verification</t>
  </si>
  <si>
    <t>Privacy technology</t>
  </si>
  <si>
    <t>30h</t>
  </si>
  <si>
    <t>90</t>
  </si>
  <si>
    <t>Homomorphic Encryption POC</t>
  </si>
  <si>
    <t>Process data without decryption</t>
  </si>
  <si>
    <t>Compute on encrypted data, FHE basics</t>
  </si>
  <si>
    <t>Advanced cryptography</t>
  </si>
  <si>
    <t>32h</t>
  </si>
  <si>
    <t>91</t>
  </si>
  <si>
    <t>ML/AI</t>
  </si>
  <si>
    <t>MLOps</t>
  </si>
  <si>
    <t>ML Training Pipeline</t>
  </si>
  <si>
    <t>Reproducible ML training with MLflow</t>
  </si>
  <si>
    <t>Data versioning, experiment tracking, model versioning</t>
  </si>
  <si>
    <t>ML infrastructure</t>
  </si>
  <si>
    <t>92</t>
  </si>
  <si>
    <t>Model Registry &amp; Versioning</t>
  </si>
  <si>
    <t>Centralized model management</t>
  </si>
  <si>
    <t>Model storage, lineage tracking, deployment workflow</t>
  </si>
  <si>
    <t>ML governance</t>
  </si>
  <si>
    <t>93</t>
  </si>
  <si>
    <t>Feature Store</t>
  </si>
  <si>
    <t>Online/offline feature management</t>
  </si>
  <si>
    <t>Feature computation, serving, versioning</t>
  </si>
  <si>
    <t>ML feature engineering</t>
  </si>
  <si>
    <t>94</t>
  </si>
  <si>
    <t>Model Serving Infrastructure</t>
  </si>
  <si>
    <t>Serve models at 10K+ RPS</t>
  </si>
  <si>
    <t>REST/gRPC serving, batching, GPU optimization</t>
  </si>
  <si>
    <t>Production ML serving</t>
  </si>
  <si>
    <t>95</t>
  </si>
  <si>
    <t>Model Monitoring System</t>
  </si>
  <si>
    <t>Monitor models in production</t>
  </si>
  <si>
    <t>Drift detection, performance tracking, alerting</t>
  </si>
  <si>
    <t>ML observability</t>
  </si>
  <si>
    <t>96</t>
  </si>
  <si>
    <t>AI Apps</t>
  </si>
  <si>
    <t>Recommendation Engine</t>
  </si>
  <si>
    <t>Netflix-style recommendation system</t>
  </si>
  <si>
    <t>Collaborative filtering, content-based, hybrid models</t>
  </si>
  <si>
    <t>Personalization engine</t>
  </si>
  <si>
    <t>97</t>
  </si>
  <si>
    <t>NLP Processing Pipeline</t>
  </si>
  <si>
    <t>Production NLP pipeline with multiple models</t>
  </si>
  <si>
    <t>Sentiment, NER, summarization, classification</t>
  </si>
  <si>
    <t>Natural language processing</t>
  </si>
  <si>
    <t>98</t>
  </si>
  <si>
    <t>Vector Search System</t>
  </si>
  <si>
    <t>Build semantic search like Google</t>
  </si>
  <si>
    <t>Embeddings, FAISS/Pinecone, semantic search</t>
  </si>
  <si>
    <t>Semantic search</t>
  </si>
  <si>
    <t>99</t>
  </si>
  <si>
    <t>RAG Pipeline</t>
  </si>
  <si>
    <t>ChatGPT-style document QA system</t>
  </si>
  <si>
    <t>Document chunking, embeddings, retrieval, generation</t>
  </si>
  <si>
    <t>AI-powered QA</t>
  </si>
  <si>
    <t>100</t>
  </si>
  <si>
    <t>AI Content Moderation</t>
  </si>
  <si>
    <t>Automatic content moderation</t>
  </si>
  <si>
    <t>Image/text classification, NSFW detection, toxic content</t>
  </si>
  <si>
    <t>Content safety</t>
  </si>
  <si>
    <t>101</t>
  </si>
  <si>
    <t>Advanced ML</t>
  </si>
  <si>
    <t>Real-Time Feature Engineering</t>
  </si>
  <si>
    <t>Sub-10ms feature computation for inference</t>
  </si>
  <si>
    <t>Stream processing, feature computation, low latency</t>
  </si>
  <si>
    <t>Real-time ML</t>
  </si>
  <si>
    <t>102</t>
  </si>
  <si>
    <t>Model Ensemble System</t>
  </si>
  <si>
    <t>Combine multiple models for better predictions</t>
  </si>
  <si>
    <t>Model stacking, voting, weighted averaging</t>
  </si>
  <si>
    <t>Ensemble learning</t>
  </si>
  <si>
    <t>103</t>
  </si>
  <si>
    <t>A/B Testing Platform for ML</t>
  </si>
  <si>
    <t>Test model variants in production</t>
  </si>
  <si>
    <t>Experiment design, statistical significance, multi-armed bandits</t>
  </si>
  <si>
    <t>ML experimentation</t>
  </si>
  <si>
    <t>104</t>
  </si>
  <si>
    <t>Federated Learning System</t>
  </si>
  <si>
    <t>Train models without centralizing data</t>
  </si>
  <si>
    <t>Distributed training, privacy-preserving aggregation</t>
  </si>
  <si>
    <t>Privacy-preserving ML</t>
  </si>
  <si>
    <t>105</t>
  </si>
  <si>
    <t>AutoML Pipeline</t>
  </si>
  <si>
    <t>Automatically optimize ML models</t>
  </si>
  <si>
    <t>Hyperparameter tuning, architecture search, AutoML</t>
  </si>
  <si>
    <t>ML automation</t>
  </si>
  <si>
    <t>106</t>
  </si>
  <si>
    <t>ML Security</t>
  </si>
  <si>
    <t>Adversarial Defense System</t>
  </si>
  <si>
    <t>Protect models from adversarial examples</t>
  </si>
  <si>
    <t>Attack detection, adversarial training, robustness</t>
  </si>
  <si>
    <t>ML security</t>
  </si>
  <si>
    <t>107</t>
  </si>
  <si>
    <t>Model Fairness Auditing</t>
  </si>
  <si>
    <t>Ensure ML fairness and detect bias</t>
  </si>
  <si>
    <t>Bias detection, fairness metrics, mitigation strategies</t>
  </si>
  <si>
    <t>Responsible AI</t>
  </si>
  <si>
    <t>108</t>
  </si>
  <si>
    <t>Differential Privacy for ML</t>
  </si>
  <si>
    <t>Train models with privacy guarantees</t>
  </si>
  <si>
    <t>DP-SGD, privacy budgets, noise injection</t>
  </si>
  <si>
    <t>109</t>
  </si>
  <si>
    <t>Model Explainability Tools</t>
  </si>
  <si>
    <t>Explain model predictions for stakeholders</t>
  </si>
  <si>
    <t>SHAP, LIME, feature importance, interpretability</t>
  </si>
  <si>
    <t>ML interpretability</t>
  </si>
  <si>
    <t>110</t>
  </si>
  <si>
    <t>Data Poisoning Detection</t>
  </si>
  <si>
    <t>Detect malicious training data</t>
  </si>
  <si>
    <t>Training data validation, anomaly detection</t>
  </si>
  <si>
    <t>ML data security</t>
  </si>
  <si>
    <t>111</t>
  </si>
  <si>
    <t>Advanced Frontend</t>
  </si>
  <si>
    <t>React Perf</t>
  </si>
  <si>
    <t>Advanced Code Splitting</t>
  </si>
  <si>
    <t>Reduce initial bundle size by 80%</t>
  </si>
  <si>
    <t>Route-based splitting, component lazy loading, bundle optimization</t>
  </si>
  <si>
    <t>Web performance</t>
  </si>
  <si>
    <t>112</t>
  </si>
  <si>
    <t>Virtual Scrolling System</t>
  </si>
  <si>
    <t>Render 100K items smoothly</t>
  </si>
  <si>
    <t>Windowing, infinite scroll, performance optimization</t>
  </si>
  <si>
    <t>UI performance</t>
  </si>
  <si>
    <t>113</t>
  </si>
  <si>
    <t>React Server Components</t>
  </si>
  <si>
    <t>Next-gen React rendering</t>
  </si>
  <si>
    <t>RSC architecture, streaming SSR, selective hydration</t>
  </si>
  <si>
    <t>Modern React</t>
  </si>
  <si>
    <t>114</t>
  </si>
  <si>
    <t>State Management Optimizer</t>
  </si>
  <si>
    <t>Prevent unnecessary re-renders</t>
  </si>
  <si>
    <t>Render optimization, memoization, Recoil/Zustand</t>
  </si>
  <si>
    <t>React optimization</t>
  </si>
  <si>
    <t>115</t>
  </si>
  <si>
    <t>React Performance Profiler</t>
  </si>
  <si>
    <t>Automatically detect React performance issues</t>
  </si>
  <si>
    <t>Performance metrics, render tracking, bottleneck detection</t>
  </si>
  <si>
    <t>Performance tooling</t>
  </si>
  <si>
    <t>116</t>
  </si>
  <si>
    <t>Real-Time</t>
  </si>
  <si>
    <t>WebSocket Gateway with Load Balancing</t>
  </si>
  <si>
    <t>Scale WebSockets to millions of connections</t>
  </si>
  <si>
    <t>Connection routing, sticky sessions, horizontal scaling</t>
  </si>
  <si>
    <t>Real-time infrastructure</t>
  </si>
  <si>
    <t>117</t>
  </si>
  <si>
    <t>Presence &amp; Typing Indicators</t>
  </si>
  <si>
    <t>Build Slack-style presence system</t>
  </si>
  <si>
    <t>Online/offline detection, typing events, heartbeats</t>
  </si>
  <si>
    <t>Social features</t>
  </si>
  <si>
    <t>118</t>
  </si>
  <si>
    <t>Collaborative Editing Engine</t>
  </si>
  <si>
    <t>Google Docs-style collaboration</t>
  </si>
  <si>
    <t>CRDT, operational transform, conflict resolution</t>
  </si>
  <si>
    <t>Real-time collaboration</t>
  </si>
  <si>
    <t>119</t>
  </si>
  <si>
    <t>Live Cursor Tracking</t>
  </si>
  <si>
    <t>Real-time cursor positions for collaboration</t>
  </si>
  <si>
    <t>Cursor synchronization, smooth interpolation, scalability</t>
  </si>
  <si>
    <t>Multiplayer features</t>
  </si>
  <si>
    <t>120</t>
  </si>
  <si>
    <t>Real-Time Notification System</t>
  </si>
  <si>
    <t>Cross-platform notification delivery</t>
  </si>
  <si>
    <t>Push notifications, WebPush, notification center</t>
  </si>
  <si>
    <t>User engagement</t>
  </si>
  <si>
    <t>121</t>
  </si>
  <si>
    <t>PWA</t>
  </si>
  <si>
    <t>Service Worker Architecture</t>
  </si>
  <si>
    <t>Full offline-first PWA</t>
  </si>
  <si>
    <t>Caching strategies, background sync, offline support</t>
  </si>
  <si>
    <t>Offline capabilities</t>
  </si>
  <si>
    <t>122</t>
  </si>
  <si>
    <t>Background Sync System</t>
  </si>
  <si>
    <t>Sync data when connection returns</t>
  </si>
  <si>
    <t>Queue sync requests, retry logic, conflict resolution</t>
  </si>
  <si>
    <t>Offline sync</t>
  </si>
  <si>
    <t>123</t>
  </si>
  <si>
    <t>Push Notification Engine</t>
  </si>
  <si>
    <t>Targeted push notifications</t>
  </si>
  <si>
    <t>Web Push API, notification service, segmentation</t>
  </si>
  <si>
    <t>User re-engagement</t>
  </si>
  <si>
    <t>124</t>
  </si>
  <si>
    <t>App Installation Manager</t>
  </si>
  <si>
    <t>Optimize PWA installation flow</t>
  </si>
  <si>
    <t>Install prompts, A2HS, app shortcuts</t>
  </si>
  <si>
    <t>App adoption</t>
  </si>
  <si>
    <t>125</t>
  </si>
  <si>
    <t>PWA Performance Monitor</t>
  </si>
  <si>
    <t>Monitor PWA health in production</t>
  </si>
  <si>
    <t>CWV tracking, offline detection, performance budgets</t>
  </si>
  <si>
    <t>PWA monitoring</t>
  </si>
  <si>
    <t>126</t>
  </si>
  <si>
    <t>Web Perf</t>
  </si>
  <si>
    <t>Core Web Vitals Optimizer</t>
  </si>
  <si>
    <t>Perfect Lighthouse scores</t>
  </si>
  <si>
    <t>LCP/FID/CLS optimization, measurement, reporting</t>
  </si>
  <si>
    <t>SEO &amp; UX optimization</t>
  </si>
  <si>
    <t>127</t>
  </si>
  <si>
    <t>Image Optimization Pipeline</t>
  </si>
  <si>
    <t>Automatically optimize all images</t>
  </si>
  <si>
    <t>Responsive images, WebP/AVIF, lazy loading, CDN</t>
  </si>
  <si>
    <t>Asset optimization</t>
  </si>
  <si>
    <t>128</t>
  </si>
  <si>
    <t>Critical CSS Extractor</t>
  </si>
  <si>
    <t>Instant first paint</t>
  </si>
  <si>
    <t>Above-fold CSS, inlining, async loading</t>
  </si>
  <si>
    <t>Initial load optimization</t>
  </si>
  <si>
    <t>129</t>
  </si>
  <si>
    <t>Performance Budget Enforcer</t>
  </si>
  <si>
    <t>Prevent performance regressions</t>
  </si>
  <si>
    <t>Bundle size limits, metric thresholds, CI integration</t>
  </si>
  <si>
    <t>Performance governance</t>
  </si>
  <si>
    <t>130</t>
  </si>
  <si>
    <t>Resource Loading Optimizer</t>
  </si>
  <si>
    <t>Optimize resource loading strategy</t>
  </si>
  <si>
    <t>Prefetch, preload, priority hints, resource timing</t>
  </si>
  <si>
    <t>Loading optimization</t>
  </si>
  <si>
    <t>131</t>
  </si>
  <si>
    <t>Mastery</t>
  </si>
  <si>
    <t>Event-Driven</t>
  </si>
  <si>
    <t>Event Bus Implementation</t>
  </si>
  <si>
    <t>Build enterprise event bus</t>
  </si>
  <si>
    <t>Event routing, filtering, replay, dead letter queue</t>
  </si>
  <si>
    <t>Event infrastructure</t>
  </si>
  <si>
    <t>132</t>
  </si>
  <si>
    <t>Event Sourcing System</t>
  </si>
  <si>
    <t>Implement event sourcing pattern</t>
  </si>
  <si>
    <t>Event store, projections, replay, snapshots</t>
  </si>
  <si>
    <t>Event-driven architecture</t>
  </si>
  <si>
    <t>133</t>
  </si>
  <si>
    <t>Stream Processing Pipeline</t>
  </si>
  <si>
    <t>Real-time data processing</t>
  </si>
  <si>
    <t>Kafka Streams, windowing, aggregations</t>
  </si>
  <si>
    <t>Data streaming</t>
  </si>
  <si>
    <t>134</t>
  </si>
  <si>
    <t>CQRS with Event Sourcing</t>
  </si>
  <si>
    <t>Complete CQRS+ES implementation</t>
  </si>
  <si>
    <t>Command/query separation, eventual consistency, projections</t>
  </si>
  <si>
    <t>Advanced architecture</t>
  </si>
  <si>
    <t>135</t>
  </si>
  <si>
    <t>Microservices with event choreography</t>
  </si>
  <si>
    <t>Choreography, saga pattern, compensation</t>
  </si>
  <si>
    <t>Distributed systems</t>
  </si>
  <si>
    <t>136</t>
  </si>
  <si>
    <t>API Design</t>
  </si>
  <si>
    <t>Unified GraphQL across services</t>
  </si>
  <si>
    <t>Schema stitching, federation, distributed execution</t>
  </si>
  <si>
    <t>GraphQL at scale</t>
  </si>
  <si>
    <t>137</t>
  </si>
  <si>
    <t>Real-Time GraphQL Subscriptions</t>
  </si>
  <si>
    <t>Live data updates via GraphQL</t>
  </si>
  <si>
    <t>WebSocket subscriptions, live queries, scalability</t>
  </si>
  <si>
    <t>Real-time GraphQL</t>
  </si>
  <si>
    <t>138</t>
  </si>
  <si>
    <t>API Versioning Strategy</t>
  </si>
  <si>
    <t>Evolve APIs without breaking clients</t>
  </si>
  <si>
    <t>Versioning schemes, deprecation, migration</t>
  </si>
  <si>
    <t>API evolution</t>
  </si>
  <si>
    <t>139</t>
  </si>
  <si>
    <t>API Rate Limiting &amp; Quotas</t>
  </si>
  <si>
    <t>Fair API usage policies</t>
  </si>
  <si>
    <t>Tiered limits, quota tracking, overage handling</t>
  </si>
  <si>
    <t>API governance</t>
  </si>
  <si>
    <t>140</t>
  </si>
  <si>
    <t>API Analytics Platform</t>
  </si>
  <si>
    <t>Understand API usage patterns</t>
  </si>
  <si>
    <t>Usage tracking, performance metrics, client insights</t>
  </si>
  <si>
    <t>API intelligence</t>
  </si>
  <si>
    <t>141</t>
  </si>
  <si>
    <t>Capstone</t>
  </si>
  <si>
    <t>Full Stack</t>
  </si>
  <si>
    <t>Project Architecture &amp; Planning</t>
  </si>
  <si>
    <t>Design complete SaaS architecture</t>
  </si>
  <si>
    <t>System design, tech stack selection, architecture docs</t>
  </si>
  <si>
    <t>Architecture skills</t>
  </si>
  <si>
    <t>142</t>
  </si>
  <si>
    <t>Authentication &amp; Authorization</t>
  </si>
  <si>
    <t>Complete auth system with tenant isolation</t>
  </si>
  <si>
    <t>Multi-tenant auth, RBAC, SSO, OAuth2</t>
  </si>
  <si>
    <t>Identity management</t>
  </si>
  <si>
    <t>143</t>
  </si>
  <si>
    <t>Core Business Logic &amp; APIs</t>
  </si>
  <si>
    <t>Production-ready API layer</t>
  </si>
  <si>
    <t>REST/GraphQL APIs, business logic, validation</t>
  </si>
  <si>
    <t>Backend development</t>
  </si>
  <si>
    <t>144</t>
  </si>
  <si>
    <t>Real-Time Features</t>
  </si>
  <si>
    <t>Live collaboration and updates</t>
  </si>
  <si>
    <t>WebSocket, presence, collaboration, notifications</t>
  </si>
  <si>
    <t>Real-time systems</t>
  </si>
  <si>
    <t>145</t>
  </si>
  <si>
    <t>Frontend Application</t>
  </si>
  <si>
    <t>Production-quality user interface</t>
  </si>
  <si>
    <t>React, state management, responsive UI, performance</t>
  </si>
  <si>
    <t>Frontend mastery</t>
  </si>
  <si>
    <t>146</t>
  </si>
  <si>
    <t>Observability Stack</t>
  </si>
  <si>
    <t>Complete production monitoring</t>
  </si>
  <si>
    <t>Metrics, logs, traces, dashboards, alerts</t>
  </si>
  <si>
    <t>Production operations</t>
  </si>
  <si>
    <t>147</t>
  </si>
  <si>
    <t>Security Hardening</t>
  </si>
  <si>
    <t>Production-grade security</t>
  </si>
  <si>
    <t>Penetration testing, security audits, compliance</t>
  </si>
  <si>
    <t>Security expertise</t>
  </si>
  <si>
    <t>148</t>
  </si>
  <si>
    <t>CI/CD &amp; Infrastructure</t>
  </si>
  <si>
    <t>Automated deployment pipeline</t>
  </si>
  <si>
    <t>GitHub Actions, Terraform, K8s deployment</t>
  </si>
  <si>
    <t>DevOps skills</t>
  </si>
  <si>
    <t>149</t>
  </si>
  <si>
    <t>Performance Optimization</t>
  </si>
  <si>
    <t>Optimize for production scale</t>
  </si>
  <si>
    <t>Load testing, profiling, scaling, caching</t>
  </si>
  <si>
    <t>Performance engineering</t>
  </si>
  <si>
    <t>150</t>
  </si>
  <si>
    <t>Documentation &amp; Launch</t>
  </si>
  <si>
    <t>Complete production-ready SaaS</t>
  </si>
  <si>
    <t>API docs, deployment guide, architecture docs, demo</t>
  </si>
  <si>
    <t>Professional polish</t>
  </si>
  <si>
    <t>Week</t>
  </si>
  <si>
    <t>Dates</t>
  </si>
  <si>
    <t>Projects Completed</t>
  </si>
  <si>
    <t>Total Hours</t>
  </si>
  <si>
    <t>Streak</t>
  </si>
  <si>
    <t>Top Win</t>
  </si>
  <si>
    <t>Biggest Challenge</t>
  </si>
  <si>
    <t>Skills Learned</t>
  </si>
  <si>
    <t>Content Created</t>
  </si>
  <si>
    <t>Engagement</t>
  </si>
  <si>
    <t>Revenue</t>
  </si>
  <si>
    <t>Next Week Goal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</si>
  <si>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</si>
  <si>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</si>
  <si>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</si>
  <si>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</si>
  <si>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</si>
  <si>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</si>
  <si>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</si>
  <si>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</si>
  <si>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</si>
  <si>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</si>
  <si>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</si>
  <si>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</si>
  <si>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</si>
  <si>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</si>
  <si>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</si>
  <si>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</si>
  <si>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</si>
  <si>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</si>
  <si>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</si>
  <si>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</si>
  <si>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</si>
  <si>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</si>
  <si>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OVERALL PROGRESS</t>
  </si>
  <si>
    <t>Total Projects</t>
  </si>
  <si>
    <t>Completion %</t>
  </si>
  <si>
    <t>Days Elapsed</t>
  </si>
  <si>
    <t>Days Remaining</t>
  </si>
  <si>
    <t>Current Streak</t>
  </si>
  <si>
    <t>Longest Streak</t>
  </si>
  <si>
    <t>TIME TRACKING</t>
  </si>
  <si>
    <t>Avg Hours/Day</t>
  </si>
  <si>
    <t>Estimated Hours Remaining</t>
  </si>
  <si>
    <t>SKILLS MASTERED</t>
  </si>
  <si>
    <t>Technologies Used</t>
  </si>
  <si>
    <t>Projects by Difficulty</t>
  </si>
  <si>
    <t xml:space="preserve">  ⭐⭐ Easy</t>
  </si>
  <si>
    <t xml:space="preserve">  ⭐⭐⭐ Medium</t>
  </si>
  <si>
    <t xml:space="preserve">  ⭐⭐⭐⭐ Hard</t>
  </si>
  <si>
    <t xml:space="preserve">  ⭐⭐⭐⭐⭐ Expert</t>
  </si>
  <si>
    <t>CONTENT &amp; ENGAGEMENT</t>
  </si>
  <si>
    <t>Total Posts</t>
  </si>
  <si>
    <t>Total Followers Gained</t>
  </si>
  <si>
    <t>GitHub Stars</t>
  </si>
  <si>
    <t>MONETIZATION</t>
  </si>
  <si>
    <t>Total Revenue</t>
  </si>
  <si>
    <t>Products Created</t>
  </si>
  <si>
    <t>PHASE BREAKDOWN</t>
  </si>
  <si>
    <t>Foundation (Days 1-30)</t>
  </si>
  <si>
    <t>Distributed (Days 31-50)</t>
  </si>
  <si>
    <t>Cloud (Days 51-70)</t>
  </si>
  <si>
    <t>Security (Days 71-90)</t>
  </si>
  <si>
    <t>Advanced Frontend (Days 91-130)</t>
  </si>
  <si>
    <t>Mastery (Days 131-140)</t>
  </si>
  <si>
    <t>Capstone (Days 141-150)</t>
  </si>
  <si>
    <t>Skill/Technology</t>
  </si>
  <si>
    <t>Projects Used In</t>
  </si>
  <si>
    <t>Proficiency</t>
  </si>
  <si>
    <t>Portfolio Links</t>
  </si>
  <si>
    <t>A2HS</t>
  </si>
  <si>
    <t>API docs</t>
  </si>
  <si>
    <t>API keys</t>
  </si>
  <si>
    <t>AST parsing</t>
  </si>
  <si>
    <t>Above-fold CSS</t>
  </si>
  <si>
    <t>Advanced cron</t>
  </si>
  <si>
    <t>Application performance monitoring</t>
  </si>
  <si>
    <t>ArgoCD</t>
  </si>
  <si>
    <t>Attack detection</t>
  </si>
  <si>
    <t>AutoML</t>
  </si>
  <si>
    <t>Automated testing</t>
  </si>
  <si>
    <t>Backup/restore</t>
  </si>
  <si>
    <t>Bash</t>
  </si>
  <si>
    <t>Bias detection</t>
  </si>
  <si>
    <t>Browser APIs</t>
  </si>
  <si>
    <t>Build parallelization</t>
  </si>
  <si>
    <t>Bull/BullMQ</t>
  </si>
  <si>
    <t>Bundle size limits</t>
  </si>
  <si>
    <t>CDN</t>
  </si>
  <si>
    <t>CI integration</t>
  </si>
  <si>
    <t>CPU/memory profiling</t>
  </si>
  <si>
    <t>CRDT</t>
  </si>
  <si>
    <t>CRDs</t>
  </si>
  <si>
    <t>CSP headers</t>
  </si>
  <si>
    <t>CSRF tokens</t>
  </si>
  <si>
    <t>CVE tracking</t>
  </si>
  <si>
    <t>CWV tracking</t>
  </si>
  <si>
    <t>Caching strategies</t>
  </si>
  <si>
    <t>Choreography</t>
  </si>
  <si>
    <t>Chrome DevTools Protocol</t>
  </si>
  <si>
    <t>Circuit breaker pattern</t>
  </si>
  <si>
    <t>Cloud-agnostic APIs</t>
  </si>
  <si>
    <t>Collaborative filtering</t>
  </si>
  <si>
    <t>Command-Query separation</t>
  </si>
  <si>
    <t>Command/query separation</t>
  </si>
  <si>
    <t>Compute on encrypted data</t>
  </si>
  <si>
    <t>Connection lifecycle</t>
  </si>
  <si>
    <t>Connection routing</t>
  </si>
  <si>
    <t>Consistent hashing</t>
  </si>
  <si>
    <t>Cursor synchronization</t>
  </si>
  <si>
    <t>DP-SGD</t>
  </si>
  <si>
    <t>Data mapping</t>
  </si>
  <si>
    <t>Data versioning</t>
  </si>
  <si>
    <t>Distributed locks</t>
  </si>
  <si>
    <t>Distributed training</t>
  </si>
  <si>
    <t>Document chunking</t>
  </si>
  <si>
    <t>Drift detection</t>
  </si>
  <si>
    <t>E2EE</t>
  </si>
  <si>
    <t>EXPLAIN plans</t>
  </si>
  <si>
    <t>Embeddings</t>
  </si>
  <si>
    <t>Encryption at rest</t>
  </si>
  <si>
    <t>Event routing</t>
  </si>
  <si>
    <t>Event sourcing</t>
  </si>
  <si>
    <t>Event store</t>
  </si>
  <si>
    <t>Experiment design</t>
  </si>
  <si>
    <t>Exponential backoff</t>
  </si>
  <si>
    <t>Express</t>
  </si>
  <si>
    <t>FAISS/Pinecone</t>
  </si>
  <si>
    <t>FHE basics</t>
  </si>
  <si>
    <t>Fault injection</t>
  </si>
  <si>
    <t>Feature computation</t>
  </si>
  <si>
    <t>Flow control</t>
  </si>
  <si>
    <t>Flux</t>
  </si>
  <si>
    <t>Function deployment</t>
  </si>
  <si>
    <t>GPU optimization</t>
  </si>
  <si>
    <t>Git history analysis</t>
  </si>
  <si>
    <t>Git hooks</t>
  </si>
  <si>
    <t>Git internals</t>
  </si>
  <si>
    <t>Git submodules</t>
  </si>
  <si>
    <t>GitHub API</t>
  </si>
  <si>
    <t>GitHub Actions</t>
  </si>
  <si>
    <t>GraphQL</t>
  </si>
  <si>
    <t>HSM integration</t>
  </si>
  <si>
    <t>HTTP/2</t>
  </si>
  <si>
    <t>Horizontal autoscaling</t>
  </si>
  <si>
    <t>Hyperparameter tuning</t>
  </si>
  <si>
    <t>Identity verification</t>
  </si>
  <si>
    <t>Image storage</t>
  </si>
  <si>
    <t>Image/text classification</t>
  </si>
  <si>
    <t>Install prompts</t>
  </si>
  <si>
    <t>Inventory tracking</t>
  </si>
  <si>
    <t>Istio/Linkerd</t>
  </si>
  <si>
    <t>JWT</t>
  </si>
  <si>
    <t>Jaeger</t>
  </si>
  <si>
    <t>K8s deployment</t>
  </si>
  <si>
    <t>KEDA</t>
  </si>
  <si>
    <t>Kafka Streams</t>
  </si>
  <si>
    <t>Key generation</t>
  </si>
  <si>
    <t>LCP/FID/CLS optimization</t>
  </si>
  <si>
    <t>LIME</t>
  </si>
  <si>
    <t>Layer optimization</t>
  </si>
  <si>
    <t>Load testing</t>
  </si>
  <si>
    <t>Log analysis</t>
  </si>
  <si>
    <t>Log shipping</t>
  </si>
  <si>
    <t>Master-slave replication</t>
  </si>
  <si>
    <t>Metrics</t>
  </si>
  <si>
    <t>Model stacking</t>
  </si>
  <si>
    <t>Model storage</t>
  </si>
  <si>
    <t>Module composition</t>
  </si>
  <si>
    <t>Module resolution</t>
  </si>
  <si>
    <t>Multi-level caching</t>
  </si>
  <si>
    <t>Multi-tenant auth</t>
  </si>
  <si>
    <t>NER</t>
  </si>
  <si>
    <t>NSFW detection</t>
  </si>
  <si>
    <t>Node.js CLI</t>
  </si>
  <si>
    <t>OAuth</t>
  </si>
  <si>
    <t>OAuth2</t>
  </si>
  <si>
    <t>OAuth2 flows</t>
  </si>
  <si>
    <t>OPA</t>
  </si>
  <si>
    <t>Observers</t>
  </si>
  <si>
    <t>On-prem to cloud</t>
  </si>
  <si>
    <t>Online/offline detection</t>
  </si>
  <si>
    <t>OpenTelemetry</t>
  </si>
  <si>
    <t>Operator pattern</t>
  </si>
  <si>
    <t>P95/P99 analysis</t>
  </si>
  <si>
    <t>PII detection</t>
  </si>
  <si>
    <t>PKCE</t>
  </si>
  <si>
    <t>Penetration testing</t>
  </si>
  <si>
    <t>Performance metrics</t>
  </si>
  <si>
    <t>Policy definition</t>
  </si>
  <si>
    <t>Port scanning</t>
  </si>
  <si>
    <t>Prefetch</t>
  </si>
  <si>
    <t>Prometheus</t>
  </si>
  <si>
    <t>Promises</t>
  </si>
  <si>
    <t>Pub/sub</t>
  </si>
  <si>
    <t>Push notifications</t>
  </si>
  <si>
    <t>Queue sync requests</t>
  </si>
  <si>
    <t>RBAC</t>
  </si>
  <si>
    <t>REST/GraphQL APIs</t>
  </si>
  <si>
    <t>REST/gRPC serving</t>
  </si>
  <si>
    <t>RSC architecture</t>
  </si>
  <si>
    <t>RTO/RPO</t>
  </si>
  <si>
    <t>Raft/Paxos</t>
  </si>
  <si>
    <t>React</t>
  </si>
  <si>
    <t>Recoil/Zustand</t>
  </si>
  <si>
    <t>Redis</t>
  </si>
  <si>
    <t>Regex patterns</t>
  </si>
  <si>
    <t>Render optimization</t>
  </si>
  <si>
    <t>Resource isolation</t>
  </si>
  <si>
    <t>Resource utilization</t>
  </si>
  <si>
    <t>Responsive images</t>
  </si>
  <si>
    <t>Reverse proxy</t>
  </si>
  <si>
    <t>Route-based splitting</t>
  </si>
  <si>
    <t>Row-level security</t>
  </si>
  <si>
    <t>SHAP</t>
  </si>
  <si>
    <t>SLI/SLO/SLA</t>
  </si>
  <si>
    <t>SOC2/ISO27001 reports</t>
  </si>
  <si>
    <t>SSH</t>
  </si>
  <si>
    <t>SSO</t>
  </si>
  <si>
    <t>SameSite cookies</t>
  </si>
  <si>
    <t>Scheduling</t>
  </si>
  <si>
    <t>Schema stitching</t>
  </si>
  <si>
    <t>Sentiment</t>
  </si>
  <si>
    <t>Signing</t>
  </si>
  <si>
    <t>State locking</t>
  </si>
  <si>
    <t>StatsD</t>
  </si>
  <si>
    <t>Stream processing</t>
  </si>
  <si>
    <t>Swagger/OpenAPI</t>
  </si>
  <si>
    <t>System design</t>
  </si>
  <si>
    <t>Tamper-evident logs</t>
  </si>
  <si>
    <t>Terraform</t>
  </si>
  <si>
    <t>Terratest</t>
  </si>
  <si>
    <t>Tiered limits</t>
  </si>
  <si>
    <t>Time-series optimization</t>
  </si>
  <si>
    <t>Token bucket</t>
  </si>
  <si>
    <t>Training data validation</t>
  </si>
  <si>
    <t>Usage tracking</t>
  </si>
  <si>
    <t>VPN/VPC setup</t>
  </si>
  <si>
    <t>Velero</t>
  </si>
  <si>
    <t>Versioning schemes</t>
  </si>
  <si>
    <t>Vulnerability scanning</t>
  </si>
  <si>
    <t>Web Push API</t>
  </si>
  <si>
    <t>WebP/AVIF</t>
  </si>
  <si>
    <t>WebPush</t>
  </si>
  <si>
    <t>WebSocket</t>
  </si>
  <si>
    <t>WebSocket subscriptions</t>
  </si>
  <si>
    <t>Webhook delivery</t>
  </si>
  <si>
    <t>Windowing</t>
  </si>
  <si>
    <t>XSS/SQLi prevention</t>
  </si>
  <si>
    <t>ZK-SNARKs</t>
  </si>
  <si>
    <t>access control</t>
  </si>
  <si>
    <t>access policies</t>
  </si>
  <si>
    <t>adversarial training</t>
  </si>
  <si>
    <t>aggregations</t>
  </si>
  <si>
    <t>alert triggers</t>
  </si>
  <si>
    <t>alerting</t>
  </si>
  <si>
    <t>alerts</t>
  </si>
  <si>
    <t>animation</t>
  </si>
  <si>
    <t>anomaly detection</t>
  </si>
  <si>
    <t>app shortcuts</t>
  </si>
  <si>
    <t>approval gates</t>
  </si>
  <si>
    <t>architecture docs</t>
  </si>
  <si>
    <t>architecture search</t>
  </si>
  <si>
    <t>async loading</t>
  </si>
  <si>
    <t>async patterns</t>
  </si>
  <si>
    <t>automation scripts</t>
  </si>
  <si>
    <t>background sync</t>
  </si>
  <si>
    <t>batching</t>
  </si>
  <si>
    <t>blast radius control</t>
  </si>
  <si>
    <t>bottleneck detection</t>
  </si>
  <si>
    <t>bottleneck identification</t>
  </si>
  <si>
    <t>buffering</t>
  </si>
  <si>
    <t>build caching</t>
  </si>
  <si>
    <t>build orchestration</t>
  </si>
  <si>
    <t>bundle optimization</t>
  </si>
  <si>
    <t>burn rate</t>
  </si>
  <si>
    <t>business logic</t>
  </si>
  <si>
    <t>cache coherence</t>
  </si>
  <si>
    <t>caching</t>
  </si>
  <si>
    <t>caching strategies</t>
  </si>
  <si>
    <t>certificate chains</t>
  </si>
  <si>
    <t>changelog</t>
  </si>
  <si>
    <t>circuit breakers</t>
  </si>
  <si>
    <t>classification</t>
  </si>
  <si>
    <t>client insights</t>
  </si>
  <si>
    <t>cluster migration</t>
  </si>
  <si>
    <t>code transformation</t>
  </si>
  <si>
    <t>cold start optimization</t>
  </si>
  <si>
    <t>collaboration</t>
  </si>
  <si>
    <t>compensation</t>
  </si>
  <si>
    <t>compliance</t>
  </si>
  <si>
    <t>compliance checks</t>
  </si>
  <si>
    <t>compliance rules</t>
  </si>
  <si>
    <t>compliance testing</t>
  </si>
  <si>
    <t>component lazy loading</t>
  </si>
  <si>
    <t>concurrency control</t>
  </si>
  <si>
    <t>conflict resolution</t>
  </si>
  <si>
    <t>connection draining</t>
  </si>
  <si>
    <t>connection limits</t>
  </si>
  <si>
    <t>connection pooling</t>
  </si>
  <si>
    <t>consensus</t>
  </si>
  <si>
    <t>consent management</t>
  </si>
  <si>
    <t>consumer groups</t>
  </si>
  <si>
    <t>content-based</t>
  </si>
  <si>
    <t>contribution metrics</t>
  </si>
  <si>
    <t>cross-region replication</t>
  </si>
  <si>
    <t>cryptographic verification</t>
  </si>
  <si>
    <t>custom metrics</t>
  </si>
  <si>
    <t>dashboards</t>
  </si>
  <si>
    <t>dead letter queue</t>
  </si>
  <si>
    <t>dead letter queues</t>
  </si>
  <si>
    <t>deadlock detection</t>
  </si>
  <si>
    <t>declarative deployments</t>
  </si>
  <si>
    <t>deletion workflows</t>
  </si>
  <si>
    <t>demo</t>
  </si>
  <si>
    <t>dependency graphs</t>
  </si>
  <si>
    <t>dependency tracking</t>
  </si>
  <si>
    <t>deployment guide</t>
  </si>
  <si>
    <t>deployment workflow</t>
  </si>
  <si>
    <t>deprecation</t>
  </si>
  <si>
    <t>diff algorithms</t>
  </si>
  <si>
    <t>distributed counters</t>
  </si>
  <si>
    <t>distributed execution</t>
  </si>
  <si>
    <t>distributed load generation</t>
  </si>
  <si>
    <t>dotfiles</t>
  </si>
  <si>
    <t>downsampling</t>
  </si>
  <si>
    <t>drift detection</t>
  </si>
  <si>
    <t>embeddings</t>
  </si>
  <si>
    <t>encoding</t>
  </si>
  <si>
    <t>encryption</t>
  </si>
  <si>
    <t>enforcement</t>
  </si>
  <si>
    <t>error budgets</t>
  </si>
  <si>
    <t>evaluation</t>
  </si>
  <si>
    <t>event triggers</t>
  </si>
  <si>
    <t>eventual consistency</t>
  </si>
  <si>
    <t>evidence collection</t>
  </si>
  <si>
    <t>experiment tracking</t>
  </si>
  <si>
    <t>failover automation</t>
  </si>
  <si>
    <t>failure detection</t>
  </si>
  <si>
    <t>failure handling</t>
  </si>
  <si>
    <t>fairness metrics</t>
  </si>
  <si>
    <t>feature computation</t>
  </si>
  <si>
    <t>feature importance</t>
  </si>
  <si>
    <t>federation</t>
  </si>
  <si>
    <t>filtering</t>
  </si>
  <si>
    <t>flame graphs</t>
  </si>
  <si>
    <t>forward secrecy</t>
  </si>
  <si>
    <t>garbage collection</t>
  </si>
  <si>
    <t>generation</t>
  </si>
  <si>
    <t>graceful shutdown</t>
  </si>
  <si>
    <t>health checks</t>
  </si>
  <si>
    <t>heap snapshots</t>
  </si>
  <si>
    <t>heartbeats</t>
  </si>
  <si>
    <t>horizontal scaling</t>
  </si>
  <si>
    <t>hybrid deployment</t>
  </si>
  <si>
    <t>hybrid models</t>
  </si>
  <si>
    <t>incident response</t>
  </si>
  <si>
    <t>index recommendations</t>
  </si>
  <si>
    <t>indexing</t>
  </si>
  <si>
    <t>infinite scroll</t>
  </si>
  <si>
    <t>inlining</t>
  </si>
  <si>
    <t>interactive CLI</t>
  </si>
  <si>
    <t>interpretability</t>
  </si>
  <si>
    <t>invalidation strategies</t>
  </si>
  <si>
    <t>jitter</t>
  </si>
  <si>
    <t>job dependencies</t>
  </si>
  <si>
    <t>job priorities</t>
  </si>
  <si>
    <t>k6</t>
  </si>
  <si>
    <t>key exchange</t>
  </si>
  <si>
    <t>key rotation</t>
  </si>
  <si>
    <t>latency breakdown</t>
  </si>
  <si>
    <t>layer analysis</t>
  </si>
  <si>
    <t>lazy loading</t>
  </si>
  <si>
    <t>leaky bucket</t>
  </si>
  <si>
    <t>lease management</t>
  </si>
  <si>
    <t>least privilege</t>
  </si>
  <si>
    <t>lineage tracking</t>
  </si>
  <si>
    <t>linting rules</t>
  </si>
  <si>
    <t>live queries</t>
  </si>
  <si>
    <t>load balancing</t>
  </si>
  <si>
    <t>logs</t>
  </si>
  <si>
    <t>low latency</t>
  </si>
  <si>
    <t>mTLS</t>
  </si>
  <si>
    <t>macrotasks</t>
  </si>
  <si>
    <t>measurement</t>
  </si>
  <si>
    <t>memoization</t>
  </si>
  <si>
    <t>message queues</t>
  </si>
  <si>
    <t>metric thresholds</t>
  </si>
  <si>
    <t>micro-segmentation</t>
  </si>
  <si>
    <t>microtasks</t>
  </si>
  <si>
    <t>migration</t>
  </si>
  <si>
    <t>mitigation strategies</t>
  </si>
  <si>
    <t>model versioning</t>
  </si>
  <si>
    <t>multi-armed bandits</t>
  </si>
  <si>
    <t>noise injection</t>
  </si>
  <si>
    <t>notification center</t>
  </si>
  <si>
    <t>notification service</t>
  </si>
  <si>
    <t>notifications</t>
  </si>
  <si>
    <t>offline detection</t>
  </si>
  <si>
    <t>offline support</t>
  </si>
  <si>
    <t>offset management</t>
  </si>
  <si>
    <t>operational transform</t>
  </si>
  <si>
    <t>overage handling</t>
  </si>
  <si>
    <t>patch management</t>
  </si>
  <si>
    <t>performance</t>
  </si>
  <si>
    <t>performance budgets</t>
  </si>
  <si>
    <t>performance metrics</t>
  </si>
  <si>
    <t>performance optimization</t>
  </si>
  <si>
    <t>performance tracking</t>
  </si>
  <si>
    <t>persistent queue</t>
  </si>
  <si>
    <t>policy enforcement</t>
  </si>
  <si>
    <t>pool sizing</t>
  </si>
  <si>
    <t>preload</t>
  </si>
  <si>
    <t>presence</t>
  </si>
  <si>
    <t>priority hints</t>
  </si>
  <si>
    <t>privacy budgets</t>
  </si>
  <si>
    <t>privacy-preserving aggregation</t>
  </si>
  <si>
    <t>privacy-preserving verification</t>
  </si>
  <si>
    <t>profiling</t>
  </si>
  <si>
    <t>projections</t>
  </si>
  <si>
    <t>provider abstractions</t>
  </si>
  <si>
    <t>proxies</t>
  </si>
  <si>
    <t>query optimization</t>
  </si>
  <si>
    <t>quota tracking</t>
  </si>
  <si>
    <t>rate limiting</t>
  </si>
  <si>
    <t>rate limiting algorithms</t>
  </si>
  <si>
    <t>read replicas</t>
  </si>
  <si>
    <t>read/write models</t>
  </si>
  <si>
    <t>real-time display</t>
  </si>
  <si>
    <t>reconciliation loop</t>
  </si>
  <si>
    <t>recovery</t>
  </si>
  <si>
    <t>refresh tokens</t>
  </si>
  <si>
    <t>regex</t>
  </si>
  <si>
    <t>render tracking</t>
  </si>
  <si>
    <t>replay</t>
  </si>
  <si>
    <t>replay protection</t>
  </si>
  <si>
    <t>reporting</t>
  </si>
  <si>
    <t>resource timing</t>
  </si>
  <si>
    <t>responsive UI</t>
  </si>
  <si>
    <t>retention</t>
  </si>
  <si>
    <t>retention policies</t>
  </si>
  <si>
    <t>retries</t>
  </si>
  <si>
    <t>retrieval</t>
  </si>
  <si>
    <t>retry logic</t>
  </si>
  <si>
    <t>right-sizing</t>
  </si>
  <si>
    <t>risk scoring</t>
  </si>
  <si>
    <t>robustness</t>
  </si>
  <si>
    <t>rollback mechanisms</t>
  </si>
  <si>
    <t>rolling updates</t>
  </si>
  <si>
    <t>rotation</t>
  </si>
  <si>
    <t>saga pattern</t>
  </si>
  <si>
    <t>scalability</t>
  </si>
  <si>
    <t>scaling</t>
  </si>
  <si>
    <t>schema isolation</t>
  </si>
  <si>
    <t>schema stitching</t>
  </si>
  <si>
    <t>search</t>
  </si>
  <si>
    <t>security audits</t>
  </si>
  <si>
    <t>security scanning</t>
  </si>
  <si>
    <t>segmentation</t>
  </si>
  <si>
    <t>selective hydration</t>
  </si>
  <si>
    <t>semantic search</t>
  </si>
  <si>
    <t>semantic versioning</t>
  </si>
  <si>
    <t>sensitivity labeling</t>
  </si>
  <si>
    <t>service detection</t>
  </si>
  <si>
    <t>serving</t>
  </si>
  <si>
    <t>session management</t>
  </si>
  <si>
    <t>signature verification</t>
  </si>
  <si>
    <t>smooth interpolation</t>
  </si>
  <si>
    <t>snapshots</t>
  </si>
  <si>
    <t>span collection</t>
  </si>
  <si>
    <t>split-brain prevention</t>
  </si>
  <si>
    <t>staged rollouts</t>
  </si>
  <si>
    <t>state backup</t>
  </si>
  <si>
    <t>state management</t>
  </si>
  <si>
    <t>statistical significance</t>
  </si>
  <si>
    <t>sticky sessions</t>
  </si>
  <si>
    <t>streaming SSR</t>
  </si>
  <si>
    <t>summarization</t>
  </si>
  <si>
    <t>system APIs</t>
  </si>
  <si>
    <t>tagging</t>
  </si>
  <si>
    <t>tech stack selection</t>
  </si>
  <si>
    <t>tenant routing</t>
  </si>
  <si>
    <t>testing</t>
  </si>
  <si>
    <t>thread pools</t>
  </si>
  <si>
    <t>threat detection</t>
  </si>
  <si>
    <t>time-series aggregation</t>
  </si>
  <si>
    <t>timeout strategies</t>
  </si>
  <si>
    <t>token management</t>
  </si>
  <si>
    <t>token rotation</t>
  </si>
  <si>
    <t>toxic content</t>
  </si>
  <si>
    <t>trace context propagation</t>
  </si>
  <si>
    <t>trace visualization</t>
  </si>
  <si>
    <t>traces</t>
  </si>
  <si>
    <t>traffic management</t>
  </si>
  <si>
    <t>typing events</t>
  </si>
  <si>
    <t>validation</t>
  </si>
  <si>
    <t>verification</t>
  </si>
  <si>
    <t>versioning</t>
  </si>
  <si>
    <t>virtual nodes</t>
  </si>
  <si>
    <t>visualization</t>
  </si>
  <si>
    <t>voting</t>
  </si>
  <si>
    <t>vulnerability assessment</t>
  </si>
  <si>
    <t>waste detection</t>
  </si>
  <si>
    <t>weighted averaging</t>
  </si>
  <si>
    <t>windowing</t>
  </si>
  <si>
    <t>workspace management</t>
  </si>
  <si>
    <t>Hours</t>
  </si>
  <si>
    <t>What I Built</t>
  </si>
  <si>
    <t>What I Learned</t>
  </si>
  <si>
    <t>Challenges</t>
  </si>
  <si>
    <t>Tomorrow's Prep</t>
  </si>
  <si>
    <t>Energy</t>
  </si>
  <si>
    <t>Motivation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</si>
</sst>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4B084"/>
        <bgColor rgb="FFF4B084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0" borderId="1" xfId="0" applyBorder="1"/>
    <xf numFmtId="0" fontId="2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topLeftCell="D1" workbookViewId="0">
      <pane ySplit="1" topLeftCell="A2" activePane="bottomLeft" state="frozen"/>
      <selection pane="bottomLeft" activeCell="I2" sqref="E2:I2"/>
    </sheetView>
  </sheetViews>
  <sheetFormatPr defaultRowHeight="14.4" x14ac:dyDescent="0.3"/>
  <cols>
    <col min="1" max="1" width="5" customWidth="1"/>
    <col min="2" max="2" width="8" customWidth="1"/>
    <col min="3" max="3" width="12" customWidth="1"/>
    <col min="4" max="4" width="15" customWidth="1"/>
    <col min="5" max="5" width="18" customWidth="1"/>
    <col min="6" max="6" width="35" customWidth="1"/>
    <col min="7" max="7" width="45" customWidth="1"/>
    <col min="8" max="8" width="30" customWidth="1"/>
    <col min="9" max="9" width="40" customWidth="1"/>
    <col min="10" max="10" width="10" customWidth="1"/>
    <col min="11" max="11" width="8" customWidth="1"/>
    <col min="12" max="13" width="10" customWidth="1"/>
    <col min="14" max="14" width="30" customWidth="1"/>
    <col min="15" max="15" width="12" customWidth="1"/>
    <col min="16" max="17" width="4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.8" x14ac:dyDescent="0.3">
      <c r="A2" s="2" t="s">
        <v>17</v>
      </c>
      <c r="B2" s="2"/>
      <c r="C2" s="2"/>
      <c r="D2" s="3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/>
      <c r="N2" s="2"/>
      <c r="O2" s="2"/>
      <c r="P2" s="2"/>
      <c r="Q2" s="2"/>
    </row>
    <row r="3" spans="1:17" ht="28.8" x14ac:dyDescent="0.3">
      <c r="A3" s="2" t="s">
        <v>26</v>
      </c>
      <c r="B3" s="2"/>
      <c r="C3" s="2"/>
      <c r="D3" s="3" t="s">
        <v>18</v>
      </c>
      <c r="E3" s="2" t="s">
        <v>19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24</v>
      </c>
      <c r="K3" s="2" t="s">
        <v>31</v>
      </c>
      <c r="L3" s="2"/>
      <c r="M3" s="2"/>
      <c r="N3" s="2"/>
      <c r="O3" s="2"/>
      <c r="P3" s="2"/>
      <c r="Q3" s="2"/>
    </row>
    <row r="4" spans="1:17" ht="28.8" x14ac:dyDescent="0.3">
      <c r="A4" s="2" t="s">
        <v>32</v>
      </c>
      <c r="B4" s="2"/>
      <c r="C4" s="2"/>
      <c r="D4" s="3" t="s">
        <v>18</v>
      </c>
      <c r="E4" s="2" t="s">
        <v>19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/>
      <c r="M4" s="2"/>
      <c r="N4" s="2"/>
      <c r="O4" s="2"/>
      <c r="P4" s="2"/>
      <c r="Q4" s="2"/>
    </row>
    <row r="5" spans="1:17" ht="28.8" x14ac:dyDescent="0.3">
      <c r="A5" s="2" t="s">
        <v>39</v>
      </c>
      <c r="B5" s="2"/>
      <c r="C5" s="2"/>
      <c r="D5" s="3" t="s">
        <v>18</v>
      </c>
      <c r="E5" s="2" t="s">
        <v>19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37</v>
      </c>
      <c r="K5" s="2" t="s">
        <v>31</v>
      </c>
      <c r="L5" s="2"/>
      <c r="M5" s="2"/>
      <c r="N5" s="2"/>
      <c r="O5" s="2"/>
      <c r="P5" s="2"/>
      <c r="Q5" s="2"/>
    </row>
    <row r="6" spans="1:17" ht="28.8" x14ac:dyDescent="0.3">
      <c r="A6" s="2" t="s">
        <v>44</v>
      </c>
      <c r="B6" s="2"/>
      <c r="C6" s="2"/>
      <c r="D6" s="3" t="s">
        <v>18</v>
      </c>
      <c r="E6" s="2" t="s">
        <v>19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37</v>
      </c>
      <c r="K6" s="2" t="s">
        <v>38</v>
      </c>
      <c r="L6" s="2"/>
      <c r="M6" s="2"/>
      <c r="N6" s="2"/>
      <c r="O6" s="2"/>
      <c r="P6" s="2"/>
      <c r="Q6" s="2"/>
    </row>
    <row r="7" spans="1:17" ht="28.8" x14ac:dyDescent="0.3">
      <c r="A7" s="2" t="s">
        <v>49</v>
      </c>
      <c r="B7" s="2"/>
      <c r="C7" s="2"/>
      <c r="D7" s="3" t="s">
        <v>18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37</v>
      </c>
      <c r="K7" s="2" t="s">
        <v>55</v>
      </c>
      <c r="L7" s="2"/>
      <c r="M7" s="2"/>
      <c r="N7" s="2"/>
      <c r="O7" s="2"/>
      <c r="P7" s="2"/>
      <c r="Q7" s="2"/>
    </row>
    <row r="8" spans="1:17" ht="28.8" x14ac:dyDescent="0.3">
      <c r="A8" s="2" t="s">
        <v>56</v>
      </c>
      <c r="B8" s="2"/>
      <c r="C8" s="2"/>
      <c r="D8" s="3" t="s">
        <v>18</v>
      </c>
      <c r="E8" s="2" t="s">
        <v>50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24</v>
      </c>
      <c r="K8" s="2" t="s">
        <v>25</v>
      </c>
      <c r="L8" s="2"/>
      <c r="M8" s="2"/>
      <c r="N8" s="2"/>
      <c r="O8" s="2"/>
      <c r="P8" s="2"/>
      <c r="Q8" s="2"/>
    </row>
    <row r="9" spans="1:17" ht="28.8" x14ac:dyDescent="0.3">
      <c r="A9" s="2" t="s">
        <v>61</v>
      </c>
      <c r="B9" s="2"/>
      <c r="C9" s="2"/>
      <c r="D9" s="3" t="s">
        <v>18</v>
      </c>
      <c r="E9" s="2" t="s">
        <v>50</v>
      </c>
      <c r="F9" s="2" t="s">
        <v>62</v>
      </c>
      <c r="G9" s="2" t="s">
        <v>63</v>
      </c>
      <c r="H9" s="2" t="s">
        <v>64</v>
      </c>
      <c r="I9" s="2" t="s">
        <v>65</v>
      </c>
      <c r="J9" s="2" t="s">
        <v>37</v>
      </c>
      <c r="K9" s="2" t="s">
        <v>38</v>
      </c>
      <c r="L9" s="2"/>
      <c r="M9" s="2"/>
      <c r="N9" s="2"/>
      <c r="O9" s="2"/>
      <c r="P9" s="2"/>
      <c r="Q9" s="2"/>
    </row>
    <row r="10" spans="1:17" ht="28.8" x14ac:dyDescent="0.3">
      <c r="A10" s="2" t="s">
        <v>66</v>
      </c>
      <c r="B10" s="2"/>
      <c r="C10" s="2"/>
      <c r="D10" s="3" t="s">
        <v>18</v>
      </c>
      <c r="E10" s="2" t="s">
        <v>50</v>
      </c>
      <c r="F10" s="2" t="s">
        <v>67</v>
      </c>
      <c r="G10" s="2" t="s">
        <v>68</v>
      </c>
      <c r="H10" s="2" t="s">
        <v>69</v>
      </c>
      <c r="I10" s="2" t="s">
        <v>70</v>
      </c>
      <c r="J10" s="2" t="s">
        <v>37</v>
      </c>
      <c r="K10" s="2" t="s">
        <v>31</v>
      </c>
      <c r="L10" s="2"/>
      <c r="M10" s="2"/>
      <c r="N10" s="2"/>
      <c r="O10" s="2"/>
      <c r="P10" s="2"/>
      <c r="Q10" s="2"/>
    </row>
    <row r="11" spans="1:17" ht="28.8" x14ac:dyDescent="0.3">
      <c r="A11" s="2" t="s">
        <v>71</v>
      </c>
      <c r="B11" s="2"/>
      <c r="C11" s="2"/>
      <c r="D11" s="3" t="s">
        <v>18</v>
      </c>
      <c r="E11" s="2" t="s">
        <v>50</v>
      </c>
      <c r="F11" s="2" t="s">
        <v>72</v>
      </c>
      <c r="G11" s="2" t="s">
        <v>73</v>
      </c>
      <c r="H11" s="2" t="s">
        <v>74</v>
      </c>
      <c r="I11" s="2" t="s">
        <v>75</v>
      </c>
      <c r="J11" s="2" t="s">
        <v>76</v>
      </c>
      <c r="K11" s="2" t="s">
        <v>77</v>
      </c>
      <c r="L11" s="2"/>
      <c r="M11" s="2"/>
      <c r="N11" s="2"/>
      <c r="O11" s="2"/>
      <c r="P11" s="2"/>
      <c r="Q11" s="2"/>
    </row>
    <row r="12" spans="1:17" ht="28.8" x14ac:dyDescent="0.3">
      <c r="A12" s="2" t="s">
        <v>78</v>
      </c>
      <c r="B12" s="2"/>
      <c r="C12" s="2"/>
      <c r="D12" s="3" t="s">
        <v>18</v>
      </c>
      <c r="E12" s="2" t="s">
        <v>79</v>
      </c>
      <c r="F12" s="2" t="s">
        <v>80</v>
      </c>
      <c r="G12" s="2" t="s">
        <v>81</v>
      </c>
      <c r="H12" s="2" t="s">
        <v>82</v>
      </c>
      <c r="I12" s="2" t="s">
        <v>83</v>
      </c>
      <c r="J12" s="2" t="s">
        <v>37</v>
      </c>
      <c r="K12" s="2" t="s">
        <v>31</v>
      </c>
      <c r="L12" s="2"/>
      <c r="M12" s="2"/>
      <c r="N12" s="2"/>
      <c r="O12" s="2"/>
      <c r="P12" s="2"/>
      <c r="Q12" s="2"/>
    </row>
    <row r="13" spans="1:17" ht="28.8" x14ac:dyDescent="0.3">
      <c r="A13" s="2" t="s">
        <v>84</v>
      </c>
      <c r="B13" s="2"/>
      <c r="C13" s="2"/>
      <c r="D13" s="3" t="s">
        <v>18</v>
      </c>
      <c r="E13" s="2" t="s">
        <v>79</v>
      </c>
      <c r="F13" s="2" t="s">
        <v>85</v>
      </c>
      <c r="G13" s="2" t="s">
        <v>86</v>
      </c>
      <c r="H13" s="2" t="s">
        <v>87</v>
      </c>
      <c r="I13" s="2" t="s">
        <v>88</v>
      </c>
      <c r="J13" s="2" t="s">
        <v>37</v>
      </c>
      <c r="K13" s="2" t="s">
        <v>38</v>
      </c>
      <c r="L13" s="2"/>
      <c r="M13" s="2"/>
      <c r="N13" s="2"/>
      <c r="O13" s="2"/>
      <c r="P13" s="2"/>
      <c r="Q13" s="2"/>
    </row>
    <row r="14" spans="1:17" ht="28.8" x14ac:dyDescent="0.3">
      <c r="A14" s="2" t="s">
        <v>89</v>
      </c>
      <c r="B14" s="2"/>
      <c r="C14" s="2"/>
      <c r="D14" s="3" t="s">
        <v>18</v>
      </c>
      <c r="E14" s="2" t="s">
        <v>79</v>
      </c>
      <c r="F14" s="2" t="s">
        <v>90</v>
      </c>
      <c r="G14" s="2" t="s">
        <v>91</v>
      </c>
      <c r="H14" s="2" t="s">
        <v>92</v>
      </c>
      <c r="I14" s="2" t="s">
        <v>93</v>
      </c>
      <c r="J14" s="2" t="s">
        <v>76</v>
      </c>
      <c r="K14" s="2" t="s">
        <v>55</v>
      </c>
      <c r="L14" s="2"/>
      <c r="M14" s="2"/>
      <c r="N14" s="2"/>
      <c r="O14" s="2"/>
      <c r="P14" s="2"/>
      <c r="Q14" s="2"/>
    </row>
    <row r="15" spans="1:17" ht="28.8" x14ac:dyDescent="0.3">
      <c r="A15" s="2" t="s">
        <v>94</v>
      </c>
      <c r="B15" s="2"/>
      <c r="C15" s="2"/>
      <c r="D15" s="3" t="s">
        <v>18</v>
      </c>
      <c r="E15" s="2" t="s">
        <v>79</v>
      </c>
      <c r="F15" s="2" t="s">
        <v>95</v>
      </c>
      <c r="G15" s="2" t="s">
        <v>96</v>
      </c>
      <c r="H15" s="2" t="s">
        <v>97</v>
      </c>
      <c r="I15" s="2" t="s">
        <v>98</v>
      </c>
      <c r="J15" s="2" t="s">
        <v>76</v>
      </c>
      <c r="K15" s="2" t="s">
        <v>77</v>
      </c>
      <c r="L15" s="2"/>
      <c r="M15" s="2"/>
      <c r="N15" s="2"/>
      <c r="O15" s="2"/>
      <c r="P15" s="2"/>
      <c r="Q15" s="2"/>
    </row>
    <row r="16" spans="1:17" ht="28.8" x14ac:dyDescent="0.3">
      <c r="A16" s="2" t="s">
        <v>99</v>
      </c>
      <c r="B16" s="2"/>
      <c r="C16" s="2"/>
      <c r="D16" s="3" t="s">
        <v>18</v>
      </c>
      <c r="E16" s="2" t="s">
        <v>79</v>
      </c>
      <c r="F16" s="2" t="s">
        <v>100</v>
      </c>
      <c r="G16" s="2" t="s">
        <v>101</v>
      </c>
      <c r="H16" s="2" t="s">
        <v>102</v>
      </c>
      <c r="I16" s="2" t="s">
        <v>103</v>
      </c>
      <c r="J16" s="2" t="s">
        <v>76</v>
      </c>
      <c r="K16" s="2" t="s">
        <v>104</v>
      </c>
      <c r="L16" s="2"/>
      <c r="M16" s="2"/>
      <c r="N16" s="2"/>
      <c r="O16" s="2"/>
      <c r="P16" s="2"/>
      <c r="Q16" s="2"/>
    </row>
    <row r="17" spans="1:17" ht="28.8" x14ac:dyDescent="0.3">
      <c r="A17" s="2" t="s">
        <v>105</v>
      </c>
      <c r="B17" s="2"/>
      <c r="C17" s="2"/>
      <c r="D17" s="3" t="s">
        <v>18</v>
      </c>
      <c r="E17" s="2" t="s">
        <v>106</v>
      </c>
      <c r="F17" s="2" t="s">
        <v>107</v>
      </c>
      <c r="G17" s="2" t="s">
        <v>108</v>
      </c>
      <c r="H17" s="2" t="s">
        <v>109</v>
      </c>
      <c r="I17" s="2" t="s">
        <v>110</v>
      </c>
      <c r="J17" s="2" t="s">
        <v>37</v>
      </c>
      <c r="K17" s="2" t="s">
        <v>38</v>
      </c>
      <c r="L17" s="2"/>
      <c r="M17" s="2"/>
      <c r="N17" s="2"/>
      <c r="O17" s="2"/>
      <c r="P17" s="2"/>
      <c r="Q17" s="2"/>
    </row>
    <row r="18" spans="1:17" ht="28.8" x14ac:dyDescent="0.3">
      <c r="A18" s="2" t="s">
        <v>111</v>
      </c>
      <c r="B18" s="2"/>
      <c r="C18" s="2"/>
      <c r="D18" s="3" t="s">
        <v>18</v>
      </c>
      <c r="E18" s="2" t="s">
        <v>106</v>
      </c>
      <c r="F18" s="2" t="s">
        <v>112</v>
      </c>
      <c r="G18" s="2" t="s">
        <v>113</v>
      </c>
      <c r="H18" s="2" t="s">
        <v>114</v>
      </c>
      <c r="I18" s="2" t="s">
        <v>115</v>
      </c>
      <c r="J18" s="2" t="s">
        <v>37</v>
      </c>
      <c r="K18" s="2" t="s">
        <v>55</v>
      </c>
      <c r="L18" s="2"/>
      <c r="M18" s="2"/>
      <c r="N18" s="2"/>
      <c r="O18" s="2"/>
      <c r="P18" s="2"/>
      <c r="Q18" s="2"/>
    </row>
    <row r="19" spans="1:17" ht="28.8" x14ac:dyDescent="0.3">
      <c r="A19" s="2" t="s">
        <v>116</v>
      </c>
      <c r="B19" s="2"/>
      <c r="C19" s="2"/>
      <c r="D19" s="3" t="s">
        <v>18</v>
      </c>
      <c r="E19" s="2" t="s">
        <v>106</v>
      </c>
      <c r="F19" s="2" t="s">
        <v>117</v>
      </c>
      <c r="G19" s="2" t="s">
        <v>118</v>
      </c>
      <c r="H19" s="2" t="s">
        <v>119</v>
      </c>
      <c r="I19" s="2" t="s">
        <v>120</v>
      </c>
      <c r="J19" s="2" t="s">
        <v>76</v>
      </c>
      <c r="K19" s="2" t="s">
        <v>77</v>
      </c>
      <c r="L19" s="2"/>
      <c r="M19" s="2"/>
      <c r="N19" s="2"/>
      <c r="O19" s="2"/>
      <c r="P19" s="2"/>
      <c r="Q19" s="2"/>
    </row>
    <row r="20" spans="1:17" ht="28.8" x14ac:dyDescent="0.3">
      <c r="A20" s="2" t="s">
        <v>121</v>
      </c>
      <c r="B20" s="2"/>
      <c r="C20" s="2"/>
      <c r="D20" s="3" t="s">
        <v>18</v>
      </c>
      <c r="E20" s="2" t="s">
        <v>106</v>
      </c>
      <c r="F20" s="2" t="s">
        <v>122</v>
      </c>
      <c r="G20" s="2" t="s">
        <v>123</v>
      </c>
      <c r="H20" s="2" t="s">
        <v>124</v>
      </c>
      <c r="I20" s="2" t="s">
        <v>125</v>
      </c>
      <c r="J20" s="2" t="s">
        <v>76</v>
      </c>
      <c r="K20" s="2" t="s">
        <v>104</v>
      </c>
      <c r="L20" s="2"/>
      <c r="M20" s="2"/>
      <c r="N20" s="2"/>
      <c r="O20" s="2"/>
      <c r="P20" s="2"/>
      <c r="Q20" s="2"/>
    </row>
    <row r="21" spans="1:17" ht="28.8" x14ac:dyDescent="0.3">
      <c r="A21" s="2" t="s">
        <v>126</v>
      </c>
      <c r="B21" s="2"/>
      <c r="C21" s="2"/>
      <c r="D21" s="3" t="s">
        <v>18</v>
      </c>
      <c r="E21" s="2" t="s">
        <v>106</v>
      </c>
      <c r="F21" s="2" t="s">
        <v>127</v>
      </c>
      <c r="G21" s="2" t="s">
        <v>128</v>
      </c>
      <c r="H21" s="2" t="s">
        <v>129</v>
      </c>
      <c r="I21" s="2" t="s">
        <v>130</v>
      </c>
      <c r="J21" s="2" t="s">
        <v>76</v>
      </c>
      <c r="K21" s="2" t="s">
        <v>77</v>
      </c>
      <c r="L21" s="2"/>
      <c r="M21" s="2"/>
      <c r="N21" s="2"/>
      <c r="O21" s="2"/>
      <c r="P21" s="2"/>
      <c r="Q21" s="2"/>
    </row>
    <row r="22" spans="1:17" ht="28.8" x14ac:dyDescent="0.3">
      <c r="A22" s="2" t="s">
        <v>131</v>
      </c>
      <c r="B22" s="2"/>
      <c r="C22" s="2"/>
      <c r="D22" s="3" t="s">
        <v>18</v>
      </c>
      <c r="E22" s="2" t="s">
        <v>132</v>
      </c>
      <c r="F22" s="2" t="s">
        <v>133</v>
      </c>
      <c r="G22" s="2" t="s">
        <v>134</v>
      </c>
      <c r="H22" s="2" t="s">
        <v>135</v>
      </c>
      <c r="I22" s="2" t="s">
        <v>136</v>
      </c>
      <c r="J22" s="2" t="s">
        <v>76</v>
      </c>
      <c r="K22" s="2" t="s">
        <v>137</v>
      </c>
      <c r="L22" s="2"/>
      <c r="M22" s="2"/>
      <c r="N22" s="2"/>
      <c r="O22" s="2"/>
      <c r="P22" s="2"/>
      <c r="Q22" s="2"/>
    </row>
    <row r="23" spans="1:17" ht="43.2" x14ac:dyDescent="0.3">
      <c r="A23" s="2" t="s">
        <v>138</v>
      </c>
      <c r="B23" s="2"/>
      <c r="C23" s="2"/>
      <c r="D23" s="3" t="s">
        <v>18</v>
      </c>
      <c r="E23" s="2" t="s">
        <v>132</v>
      </c>
      <c r="F23" s="2" t="s">
        <v>139</v>
      </c>
      <c r="G23" s="2" t="s">
        <v>140</v>
      </c>
      <c r="H23" s="2" t="s">
        <v>141</v>
      </c>
      <c r="I23" s="2" t="s">
        <v>142</v>
      </c>
      <c r="J23" s="2" t="s">
        <v>76</v>
      </c>
      <c r="K23" s="2" t="s">
        <v>104</v>
      </c>
      <c r="L23" s="2"/>
      <c r="M23" s="2"/>
      <c r="N23" s="2"/>
      <c r="O23" s="2"/>
      <c r="P23" s="2"/>
      <c r="Q23" s="2"/>
    </row>
    <row r="24" spans="1:17" ht="28.8" x14ac:dyDescent="0.3">
      <c r="A24" s="2" t="s">
        <v>143</v>
      </c>
      <c r="B24" s="2"/>
      <c r="C24" s="2"/>
      <c r="D24" s="3" t="s">
        <v>18</v>
      </c>
      <c r="E24" s="2" t="s">
        <v>132</v>
      </c>
      <c r="F24" s="2" t="s">
        <v>144</v>
      </c>
      <c r="G24" s="2" t="s">
        <v>145</v>
      </c>
      <c r="H24" s="2" t="s">
        <v>146</v>
      </c>
      <c r="I24" s="2" t="s">
        <v>147</v>
      </c>
      <c r="J24" s="2" t="s">
        <v>76</v>
      </c>
      <c r="K24" s="2" t="s">
        <v>137</v>
      </c>
      <c r="L24" s="2"/>
      <c r="M24" s="2"/>
      <c r="N24" s="2"/>
      <c r="O24" s="2"/>
      <c r="P24" s="2"/>
      <c r="Q24" s="2"/>
    </row>
    <row r="25" spans="1:17" ht="28.8" x14ac:dyDescent="0.3">
      <c r="A25" s="2" t="s">
        <v>148</v>
      </c>
      <c r="B25" s="2"/>
      <c r="C25" s="2"/>
      <c r="D25" s="3" t="s">
        <v>18</v>
      </c>
      <c r="E25" s="2" t="s">
        <v>132</v>
      </c>
      <c r="F25" s="2" t="s">
        <v>149</v>
      </c>
      <c r="G25" s="2" t="s">
        <v>150</v>
      </c>
      <c r="H25" s="2" t="s">
        <v>151</v>
      </c>
      <c r="I25" s="2" t="s">
        <v>152</v>
      </c>
      <c r="J25" s="2" t="s">
        <v>37</v>
      </c>
      <c r="K25" s="2" t="s">
        <v>55</v>
      </c>
      <c r="L25" s="2"/>
      <c r="M25" s="2"/>
      <c r="N25" s="2"/>
      <c r="O25" s="2"/>
      <c r="P25" s="2"/>
      <c r="Q25" s="2"/>
    </row>
    <row r="26" spans="1:17" ht="43.2" x14ac:dyDescent="0.3">
      <c r="A26" s="2" t="s">
        <v>153</v>
      </c>
      <c r="B26" s="2"/>
      <c r="C26" s="2"/>
      <c r="D26" s="3" t="s">
        <v>18</v>
      </c>
      <c r="E26" s="2" t="s">
        <v>132</v>
      </c>
      <c r="F26" s="2" t="s">
        <v>154</v>
      </c>
      <c r="G26" s="2" t="s">
        <v>155</v>
      </c>
      <c r="H26" s="2" t="s">
        <v>156</v>
      </c>
      <c r="I26" s="2" t="s">
        <v>157</v>
      </c>
      <c r="J26" s="2" t="s">
        <v>76</v>
      </c>
      <c r="K26" s="2" t="s">
        <v>77</v>
      </c>
      <c r="L26" s="2"/>
      <c r="M26" s="2"/>
      <c r="N26" s="2"/>
      <c r="O26" s="2"/>
      <c r="P26" s="2"/>
      <c r="Q26" s="2"/>
    </row>
    <row r="27" spans="1:17" ht="28.8" x14ac:dyDescent="0.3">
      <c r="A27" s="2" t="s">
        <v>158</v>
      </c>
      <c r="B27" s="2"/>
      <c r="C27" s="2"/>
      <c r="D27" s="3" t="s">
        <v>18</v>
      </c>
      <c r="E27" s="2" t="s">
        <v>159</v>
      </c>
      <c r="F27" s="2" t="s">
        <v>160</v>
      </c>
      <c r="G27" s="2" t="s">
        <v>161</v>
      </c>
      <c r="H27" s="2" t="s">
        <v>162</v>
      </c>
      <c r="I27" s="2" t="s">
        <v>163</v>
      </c>
      <c r="J27" s="2" t="s">
        <v>37</v>
      </c>
      <c r="K27" s="2" t="s">
        <v>38</v>
      </c>
      <c r="L27" s="2"/>
      <c r="M27" s="2"/>
      <c r="N27" s="2"/>
      <c r="O27" s="2"/>
      <c r="P27" s="2"/>
      <c r="Q27" s="2"/>
    </row>
    <row r="28" spans="1:17" ht="43.2" x14ac:dyDescent="0.3">
      <c r="A28" s="2" t="s">
        <v>164</v>
      </c>
      <c r="B28" s="2"/>
      <c r="C28" s="2"/>
      <c r="D28" s="3" t="s">
        <v>18</v>
      </c>
      <c r="E28" s="2" t="s">
        <v>159</v>
      </c>
      <c r="F28" s="2" t="s">
        <v>165</v>
      </c>
      <c r="G28" s="2" t="s">
        <v>166</v>
      </c>
      <c r="H28" s="2" t="s">
        <v>167</v>
      </c>
      <c r="I28" s="2" t="s">
        <v>168</v>
      </c>
      <c r="J28" s="2" t="s">
        <v>76</v>
      </c>
      <c r="K28" s="2" t="s">
        <v>77</v>
      </c>
      <c r="L28" s="2"/>
      <c r="M28" s="2"/>
      <c r="N28" s="2"/>
      <c r="O28" s="2"/>
      <c r="P28" s="2"/>
      <c r="Q28" s="2"/>
    </row>
    <row r="29" spans="1:17" ht="28.8" x14ac:dyDescent="0.3">
      <c r="A29" s="2" t="s">
        <v>169</v>
      </c>
      <c r="B29" s="2"/>
      <c r="C29" s="2"/>
      <c r="D29" s="3" t="s">
        <v>18</v>
      </c>
      <c r="E29" s="2" t="s">
        <v>159</v>
      </c>
      <c r="F29" s="2" t="s">
        <v>170</v>
      </c>
      <c r="G29" s="2" t="s">
        <v>171</v>
      </c>
      <c r="H29" s="2" t="s">
        <v>172</v>
      </c>
      <c r="I29" s="2" t="s">
        <v>173</v>
      </c>
      <c r="J29" s="2" t="s">
        <v>76</v>
      </c>
      <c r="K29" s="2" t="s">
        <v>104</v>
      </c>
      <c r="L29" s="2"/>
      <c r="M29" s="2"/>
      <c r="N29" s="2"/>
      <c r="O29" s="2"/>
      <c r="P29" s="2"/>
      <c r="Q29" s="2"/>
    </row>
    <row r="30" spans="1:17" ht="28.8" x14ac:dyDescent="0.3">
      <c r="A30" s="2" t="s">
        <v>174</v>
      </c>
      <c r="B30" s="2"/>
      <c r="C30" s="2"/>
      <c r="D30" s="3" t="s">
        <v>18</v>
      </c>
      <c r="E30" s="2" t="s">
        <v>159</v>
      </c>
      <c r="F30" s="2" t="s">
        <v>175</v>
      </c>
      <c r="G30" s="2" t="s">
        <v>176</v>
      </c>
      <c r="H30" s="2" t="s">
        <v>177</v>
      </c>
      <c r="I30" s="2" t="s">
        <v>178</v>
      </c>
      <c r="J30" s="2" t="s">
        <v>76</v>
      </c>
      <c r="K30" s="2" t="s">
        <v>137</v>
      </c>
      <c r="L30" s="2"/>
      <c r="M30" s="2"/>
      <c r="N30" s="2"/>
      <c r="O30" s="2"/>
      <c r="P30" s="2"/>
      <c r="Q30" s="2"/>
    </row>
    <row r="31" spans="1:17" ht="28.8" x14ac:dyDescent="0.3">
      <c r="A31" s="2" t="s">
        <v>179</v>
      </c>
      <c r="B31" s="2"/>
      <c r="C31" s="2"/>
      <c r="D31" s="3" t="s">
        <v>18</v>
      </c>
      <c r="E31" s="2" t="s">
        <v>159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76</v>
      </c>
      <c r="K31" s="2" t="s">
        <v>184</v>
      </c>
      <c r="L31" s="2"/>
      <c r="M31" s="2"/>
      <c r="N31" s="2"/>
      <c r="O31" s="2"/>
      <c r="P31" s="2"/>
      <c r="Q31" s="2"/>
    </row>
    <row r="32" spans="1:17" ht="28.8" x14ac:dyDescent="0.3">
      <c r="A32" s="2" t="s">
        <v>185</v>
      </c>
      <c r="B32" s="2"/>
      <c r="C32" s="2"/>
      <c r="D32" s="4" t="s">
        <v>186</v>
      </c>
      <c r="E32" s="2" t="s">
        <v>187</v>
      </c>
      <c r="F32" s="2" t="s">
        <v>188</v>
      </c>
      <c r="G32" s="2" t="s">
        <v>189</v>
      </c>
      <c r="H32" s="2" t="s">
        <v>190</v>
      </c>
      <c r="I32" s="2" t="s">
        <v>191</v>
      </c>
      <c r="J32" s="2" t="s">
        <v>76</v>
      </c>
      <c r="K32" s="2" t="s">
        <v>77</v>
      </c>
      <c r="L32" s="2"/>
      <c r="M32" s="2"/>
      <c r="N32" s="2"/>
      <c r="O32" s="2"/>
      <c r="P32" s="2"/>
      <c r="Q32" s="2"/>
    </row>
    <row r="33" spans="1:17" ht="28.8" x14ac:dyDescent="0.3">
      <c r="A33" s="2" t="s">
        <v>192</v>
      </c>
      <c r="B33" s="2"/>
      <c r="C33" s="2"/>
      <c r="D33" s="4" t="s">
        <v>186</v>
      </c>
      <c r="E33" s="2" t="s">
        <v>187</v>
      </c>
      <c r="F33" s="2" t="s">
        <v>193</v>
      </c>
      <c r="G33" s="2" t="s">
        <v>194</v>
      </c>
      <c r="H33" s="2" t="s">
        <v>195</v>
      </c>
      <c r="I33" s="2" t="s">
        <v>196</v>
      </c>
      <c r="J33" s="2" t="s">
        <v>197</v>
      </c>
      <c r="K33" s="2" t="s">
        <v>198</v>
      </c>
      <c r="L33" s="2"/>
      <c r="M33" s="2"/>
      <c r="N33" s="2"/>
      <c r="O33" s="2"/>
      <c r="P33" s="2"/>
      <c r="Q33" s="2"/>
    </row>
    <row r="34" spans="1:17" ht="28.8" x14ac:dyDescent="0.3">
      <c r="A34" s="2" t="s">
        <v>199</v>
      </c>
      <c r="B34" s="2"/>
      <c r="C34" s="2"/>
      <c r="D34" s="4" t="s">
        <v>186</v>
      </c>
      <c r="E34" s="2" t="s">
        <v>187</v>
      </c>
      <c r="F34" s="2" t="s">
        <v>200</v>
      </c>
      <c r="G34" s="2" t="s">
        <v>201</v>
      </c>
      <c r="H34" s="2" t="s">
        <v>202</v>
      </c>
      <c r="I34" s="2" t="s">
        <v>203</v>
      </c>
      <c r="J34" s="2" t="s">
        <v>76</v>
      </c>
      <c r="K34" s="2" t="s">
        <v>104</v>
      </c>
      <c r="L34" s="2"/>
      <c r="M34" s="2"/>
      <c r="N34" s="2"/>
      <c r="O34" s="2"/>
      <c r="P34" s="2"/>
      <c r="Q34" s="2"/>
    </row>
    <row r="35" spans="1:17" ht="43.2" x14ac:dyDescent="0.3">
      <c r="A35" s="2" t="s">
        <v>204</v>
      </c>
      <c r="B35" s="2"/>
      <c r="C35" s="2"/>
      <c r="D35" s="4" t="s">
        <v>186</v>
      </c>
      <c r="E35" s="2" t="s">
        <v>187</v>
      </c>
      <c r="F35" s="2" t="s">
        <v>205</v>
      </c>
      <c r="G35" s="2" t="s">
        <v>206</v>
      </c>
      <c r="H35" s="2" t="s">
        <v>207</v>
      </c>
      <c r="I35" s="2" t="s">
        <v>208</v>
      </c>
      <c r="J35" s="2" t="s">
        <v>197</v>
      </c>
      <c r="K35" s="2" t="s">
        <v>209</v>
      </c>
      <c r="L35" s="2"/>
      <c r="M35" s="2"/>
      <c r="N35" s="2"/>
      <c r="O35" s="2"/>
      <c r="P35" s="2"/>
      <c r="Q35" s="2"/>
    </row>
    <row r="36" spans="1:17" ht="28.8" x14ac:dyDescent="0.3">
      <c r="A36" s="2" t="s">
        <v>210</v>
      </c>
      <c r="B36" s="2"/>
      <c r="C36" s="2"/>
      <c r="D36" s="4" t="s">
        <v>186</v>
      </c>
      <c r="E36" s="2" t="s">
        <v>187</v>
      </c>
      <c r="F36" s="2" t="s">
        <v>211</v>
      </c>
      <c r="G36" s="2" t="s">
        <v>212</v>
      </c>
      <c r="H36" s="2" t="s">
        <v>213</v>
      </c>
      <c r="I36" s="2" t="s">
        <v>214</v>
      </c>
      <c r="J36" s="2" t="s">
        <v>76</v>
      </c>
      <c r="K36" s="2" t="s">
        <v>137</v>
      </c>
      <c r="L36" s="2"/>
      <c r="M36" s="2"/>
      <c r="N36" s="2"/>
      <c r="O36" s="2"/>
      <c r="P36" s="2"/>
      <c r="Q36" s="2"/>
    </row>
    <row r="37" spans="1:17" ht="28.8" x14ac:dyDescent="0.3">
      <c r="A37" s="2" t="s">
        <v>215</v>
      </c>
      <c r="B37" s="2"/>
      <c r="C37" s="2"/>
      <c r="D37" s="4" t="s">
        <v>186</v>
      </c>
      <c r="E37" s="2" t="s">
        <v>216</v>
      </c>
      <c r="F37" s="2" t="s">
        <v>217</v>
      </c>
      <c r="G37" s="2" t="s">
        <v>218</v>
      </c>
      <c r="H37" s="2" t="s">
        <v>219</v>
      </c>
      <c r="I37" s="2" t="s">
        <v>220</v>
      </c>
      <c r="J37" s="2" t="s">
        <v>76</v>
      </c>
      <c r="K37" s="2" t="s">
        <v>104</v>
      </c>
      <c r="L37" s="2"/>
      <c r="M37" s="2"/>
      <c r="N37" s="2"/>
      <c r="O37" s="2"/>
      <c r="P37" s="2"/>
      <c r="Q37" s="2"/>
    </row>
    <row r="38" spans="1:17" ht="28.8" x14ac:dyDescent="0.3">
      <c r="A38" s="2" t="s">
        <v>221</v>
      </c>
      <c r="B38" s="2"/>
      <c r="C38" s="2"/>
      <c r="D38" s="4" t="s">
        <v>186</v>
      </c>
      <c r="E38" s="2" t="s">
        <v>216</v>
      </c>
      <c r="F38" s="2" t="s">
        <v>222</v>
      </c>
      <c r="G38" s="2" t="s">
        <v>223</v>
      </c>
      <c r="H38" s="2" t="s">
        <v>224</v>
      </c>
      <c r="I38" s="2" t="s">
        <v>225</v>
      </c>
      <c r="J38" s="2" t="s">
        <v>76</v>
      </c>
      <c r="K38" s="2" t="s">
        <v>184</v>
      </c>
      <c r="L38" s="2"/>
      <c r="M38" s="2"/>
      <c r="N38" s="2"/>
      <c r="O38" s="2"/>
      <c r="P38" s="2"/>
      <c r="Q38" s="2"/>
    </row>
    <row r="39" spans="1:17" ht="28.8" x14ac:dyDescent="0.3">
      <c r="A39" s="2" t="s">
        <v>226</v>
      </c>
      <c r="B39" s="2"/>
      <c r="C39" s="2"/>
      <c r="D39" s="4" t="s">
        <v>186</v>
      </c>
      <c r="E39" s="2" t="s">
        <v>216</v>
      </c>
      <c r="F39" s="2" t="s">
        <v>227</v>
      </c>
      <c r="G39" s="2" t="s">
        <v>228</v>
      </c>
      <c r="H39" s="2" t="s">
        <v>229</v>
      </c>
      <c r="I39" s="2" t="s">
        <v>230</v>
      </c>
      <c r="J39" s="2" t="s">
        <v>76</v>
      </c>
      <c r="K39" s="2" t="s">
        <v>137</v>
      </c>
      <c r="L39" s="2"/>
      <c r="M39" s="2"/>
      <c r="N39" s="2"/>
      <c r="O39" s="2"/>
      <c r="P39" s="2"/>
      <c r="Q39" s="2"/>
    </row>
    <row r="40" spans="1:17" ht="28.8" x14ac:dyDescent="0.3">
      <c r="A40" s="2" t="s">
        <v>231</v>
      </c>
      <c r="B40" s="2"/>
      <c r="C40" s="2"/>
      <c r="D40" s="4" t="s">
        <v>186</v>
      </c>
      <c r="E40" s="2" t="s">
        <v>216</v>
      </c>
      <c r="F40" s="2" t="s">
        <v>232</v>
      </c>
      <c r="G40" s="2" t="s">
        <v>233</v>
      </c>
      <c r="H40" s="2" t="s">
        <v>234</v>
      </c>
      <c r="I40" s="2" t="s">
        <v>235</v>
      </c>
      <c r="J40" s="2" t="s">
        <v>76</v>
      </c>
      <c r="K40" s="2" t="s">
        <v>77</v>
      </c>
      <c r="L40" s="2"/>
      <c r="M40" s="2"/>
      <c r="N40" s="2"/>
      <c r="O40" s="2"/>
      <c r="P40" s="2"/>
      <c r="Q40" s="2"/>
    </row>
    <row r="41" spans="1:17" ht="43.2" x14ac:dyDescent="0.3">
      <c r="A41" s="2" t="s">
        <v>236</v>
      </c>
      <c r="B41" s="2"/>
      <c r="C41" s="2"/>
      <c r="D41" s="4" t="s">
        <v>186</v>
      </c>
      <c r="E41" s="2" t="s">
        <v>216</v>
      </c>
      <c r="F41" s="2" t="s">
        <v>237</v>
      </c>
      <c r="G41" s="2" t="s">
        <v>238</v>
      </c>
      <c r="H41" s="2" t="s">
        <v>239</v>
      </c>
      <c r="I41" s="2" t="s">
        <v>240</v>
      </c>
      <c r="J41" s="2" t="s">
        <v>197</v>
      </c>
      <c r="K41" s="2" t="s">
        <v>241</v>
      </c>
      <c r="L41" s="2"/>
      <c r="M41" s="2"/>
      <c r="N41" s="2"/>
      <c r="O41" s="2"/>
      <c r="P41" s="2"/>
      <c r="Q41" s="2"/>
    </row>
    <row r="42" spans="1:17" ht="28.8" x14ac:dyDescent="0.3">
      <c r="A42" s="2" t="s">
        <v>242</v>
      </c>
      <c r="B42" s="2"/>
      <c r="C42" s="2"/>
      <c r="D42" s="4" t="s">
        <v>186</v>
      </c>
      <c r="E42" s="2" t="s">
        <v>243</v>
      </c>
      <c r="F42" s="2" t="s">
        <v>244</v>
      </c>
      <c r="G42" s="2" t="s">
        <v>245</v>
      </c>
      <c r="H42" s="2" t="s">
        <v>246</v>
      </c>
      <c r="I42" s="2" t="s">
        <v>247</v>
      </c>
      <c r="J42" s="2" t="s">
        <v>76</v>
      </c>
      <c r="K42" s="2" t="s">
        <v>104</v>
      </c>
      <c r="L42" s="2"/>
      <c r="M42" s="2"/>
      <c r="N42" s="2"/>
      <c r="O42" s="2"/>
      <c r="P42" s="2"/>
      <c r="Q42" s="2"/>
    </row>
    <row r="43" spans="1:17" ht="28.8" x14ac:dyDescent="0.3">
      <c r="A43" s="2" t="s">
        <v>248</v>
      </c>
      <c r="B43" s="2"/>
      <c r="C43" s="2"/>
      <c r="D43" s="4" t="s">
        <v>186</v>
      </c>
      <c r="E43" s="2" t="s">
        <v>243</v>
      </c>
      <c r="F43" s="2" t="s">
        <v>249</v>
      </c>
      <c r="G43" s="2" t="s">
        <v>250</v>
      </c>
      <c r="H43" s="2" t="s">
        <v>251</v>
      </c>
      <c r="I43" s="2" t="s">
        <v>252</v>
      </c>
      <c r="J43" s="2" t="s">
        <v>76</v>
      </c>
      <c r="K43" s="2" t="s">
        <v>137</v>
      </c>
      <c r="L43" s="2"/>
      <c r="M43" s="2"/>
      <c r="N43" s="2"/>
      <c r="O43" s="2"/>
      <c r="P43" s="2"/>
      <c r="Q43" s="2"/>
    </row>
    <row r="44" spans="1:17" ht="28.8" x14ac:dyDescent="0.3">
      <c r="A44" s="2" t="s">
        <v>253</v>
      </c>
      <c r="B44" s="2"/>
      <c r="C44" s="2"/>
      <c r="D44" s="4" t="s">
        <v>186</v>
      </c>
      <c r="E44" s="2" t="s">
        <v>243</v>
      </c>
      <c r="F44" s="2" t="s">
        <v>254</v>
      </c>
      <c r="G44" s="2" t="s">
        <v>255</v>
      </c>
      <c r="H44" s="2" t="s">
        <v>256</v>
      </c>
      <c r="I44" s="2" t="s">
        <v>257</v>
      </c>
      <c r="J44" s="2" t="s">
        <v>76</v>
      </c>
      <c r="K44" s="2" t="s">
        <v>77</v>
      </c>
      <c r="L44" s="2"/>
      <c r="M44" s="2"/>
      <c r="N44" s="2"/>
      <c r="O44" s="2"/>
      <c r="P44" s="2"/>
      <c r="Q44" s="2"/>
    </row>
    <row r="45" spans="1:17" ht="28.8" x14ac:dyDescent="0.3">
      <c r="A45" s="2" t="s">
        <v>258</v>
      </c>
      <c r="B45" s="2"/>
      <c r="C45" s="2"/>
      <c r="D45" s="4" t="s">
        <v>186</v>
      </c>
      <c r="E45" s="2" t="s">
        <v>243</v>
      </c>
      <c r="F45" s="2" t="s">
        <v>259</v>
      </c>
      <c r="G45" s="2" t="s">
        <v>260</v>
      </c>
      <c r="H45" s="2" t="s">
        <v>261</v>
      </c>
      <c r="I45" s="2" t="s">
        <v>262</v>
      </c>
      <c r="J45" s="2" t="s">
        <v>76</v>
      </c>
      <c r="K45" s="2" t="s">
        <v>104</v>
      </c>
      <c r="L45" s="2"/>
      <c r="M45" s="2"/>
      <c r="N45" s="2"/>
      <c r="O45" s="2"/>
      <c r="P45" s="2"/>
      <c r="Q45" s="2"/>
    </row>
    <row r="46" spans="1:17" ht="28.8" x14ac:dyDescent="0.3">
      <c r="A46" s="2" t="s">
        <v>263</v>
      </c>
      <c r="B46" s="2"/>
      <c r="C46" s="2"/>
      <c r="D46" s="4" t="s">
        <v>186</v>
      </c>
      <c r="E46" s="2" t="s">
        <v>243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76</v>
      </c>
      <c r="K46" s="2" t="s">
        <v>137</v>
      </c>
      <c r="L46" s="2"/>
      <c r="M46" s="2"/>
      <c r="N46" s="2"/>
      <c r="O46" s="2"/>
      <c r="P46" s="2"/>
      <c r="Q46" s="2"/>
    </row>
    <row r="47" spans="1:17" ht="28.8" x14ac:dyDescent="0.3">
      <c r="A47" s="2" t="s">
        <v>268</v>
      </c>
      <c r="B47" s="2"/>
      <c r="C47" s="2"/>
      <c r="D47" s="4" t="s">
        <v>186</v>
      </c>
      <c r="E47" s="2" t="s">
        <v>269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37</v>
      </c>
      <c r="K47" s="2" t="s">
        <v>55</v>
      </c>
      <c r="L47" s="2"/>
      <c r="M47" s="2"/>
      <c r="N47" s="2"/>
      <c r="O47" s="2"/>
      <c r="P47" s="2"/>
      <c r="Q47" s="2"/>
    </row>
    <row r="48" spans="1:17" ht="28.8" x14ac:dyDescent="0.3">
      <c r="A48" s="2" t="s">
        <v>274</v>
      </c>
      <c r="B48" s="2"/>
      <c r="C48" s="2"/>
      <c r="D48" s="4" t="s">
        <v>186</v>
      </c>
      <c r="E48" s="2" t="s">
        <v>269</v>
      </c>
      <c r="F48" s="2" t="s">
        <v>275</v>
      </c>
      <c r="G48" s="2" t="s">
        <v>276</v>
      </c>
      <c r="H48" s="2" t="s">
        <v>277</v>
      </c>
      <c r="I48" s="2" t="s">
        <v>278</v>
      </c>
      <c r="J48" s="2" t="s">
        <v>37</v>
      </c>
      <c r="K48" s="2" t="s">
        <v>38</v>
      </c>
      <c r="L48" s="2"/>
      <c r="M48" s="2"/>
      <c r="N48" s="2"/>
      <c r="O48" s="2"/>
      <c r="P48" s="2"/>
      <c r="Q48" s="2"/>
    </row>
    <row r="49" spans="1:17" ht="28.8" x14ac:dyDescent="0.3">
      <c r="A49" s="2" t="s">
        <v>279</v>
      </c>
      <c r="B49" s="2"/>
      <c r="C49" s="2"/>
      <c r="D49" s="4" t="s">
        <v>186</v>
      </c>
      <c r="E49" s="2" t="s">
        <v>269</v>
      </c>
      <c r="F49" s="2" t="s">
        <v>280</v>
      </c>
      <c r="G49" s="2" t="s">
        <v>281</v>
      </c>
      <c r="H49" s="2" t="s">
        <v>282</v>
      </c>
      <c r="I49" s="2" t="s">
        <v>283</v>
      </c>
      <c r="J49" s="2" t="s">
        <v>197</v>
      </c>
      <c r="K49" s="2" t="s">
        <v>241</v>
      </c>
      <c r="L49" s="2"/>
      <c r="M49" s="2"/>
      <c r="N49" s="2"/>
      <c r="O49" s="2"/>
      <c r="P49" s="2"/>
      <c r="Q49" s="2"/>
    </row>
    <row r="50" spans="1:17" ht="28.8" x14ac:dyDescent="0.3">
      <c r="A50" s="2" t="s">
        <v>284</v>
      </c>
      <c r="B50" s="2"/>
      <c r="C50" s="2"/>
      <c r="D50" s="4" t="s">
        <v>186</v>
      </c>
      <c r="E50" s="2" t="s">
        <v>269</v>
      </c>
      <c r="F50" s="2" t="s">
        <v>285</v>
      </c>
      <c r="G50" s="2" t="s">
        <v>286</v>
      </c>
      <c r="H50" s="2" t="s">
        <v>287</v>
      </c>
      <c r="I50" s="2" t="s">
        <v>288</v>
      </c>
      <c r="J50" s="2" t="s">
        <v>197</v>
      </c>
      <c r="K50" s="2" t="s">
        <v>198</v>
      </c>
      <c r="L50" s="2"/>
      <c r="M50" s="2"/>
      <c r="N50" s="2"/>
      <c r="O50" s="2"/>
      <c r="P50" s="2"/>
      <c r="Q50" s="2"/>
    </row>
    <row r="51" spans="1:17" ht="28.8" x14ac:dyDescent="0.3">
      <c r="A51" s="2" t="s">
        <v>289</v>
      </c>
      <c r="B51" s="2"/>
      <c r="C51" s="2"/>
      <c r="D51" s="4" t="s">
        <v>186</v>
      </c>
      <c r="E51" s="2" t="s">
        <v>269</v>
      </c>
      <c r="F51" s="2" t="s">
        <v>290</v>
      </c>
      <c r="G51" s="2" t="s">
        <v>291</v>
      </c>
      <c r="H51" s="2" t="s">
        <v>292</v>
      </c>
      <c r="I51" s="2" t="s">
        <v>293</v>
      </c>
      <c r="J51" s="2" t="s">
        <v>76</v>
      </c>
      <c r="K51" s="2" t="s">
        <v>77</v>
      </c>
      <c r="L51" s="2"/>
      <c r="M51" s="2"/>
      <c r="N51" s="2"/>
      <c r="O51" s="2"/>
      <c r="P51" s="2"/>
      <c r="Q51" s="2"/>
    </row>
    <row r="52" spans="1:17" ht="28.8" x14ac:dyDescent="0.3">
      <c r="A52" s="2" t="s">
        <v>294</v>
      </c>
      <c r="B52" s="2"/>
      <c r="C52" s="2"/>
      <c r="D52" s="5" t="s">
        <v>295</v>
      </c>
      <c r="E52" s="2" t="s">
        <v>296</v>
      </c>
      <c r="F52" s="2" t="s">
        <v>297</v>
      </c>
      <c r="G52" s="2" t="s">
        <v>298</v>
      </c>
      <c r="H52" s="2" t="s">
        <v>299</v>
      </c>
      <c r="I52" s="2" t="s">
        <v>300</v>
      </c>
      <c r="J52" s="2" t="s">
        <v>37</v>
      </c>
      <c r="K52" s="2" t="s">
        <v>38</v>
      </c>
      <c r="L52" s="2"/>
      <c r="M52" s="2"/>
      <c r="N52" s="2"/>
      <c r="O52" s="2"/>
      <c r="P52" s="2"/>
      <c r="Q52" s="2"/>
    </row>
    <row r="53" spans="1:17" ht="28.8" x14ac:dyDescent="0.3">
      <c r="A53" s="2" t="s">
        <v>301</v>
      </c>
      <c r="B53" s="2"/>
      <c r="C53" s="2"/>
      <c r="D53" s="5" t="s">
        <v>295</v>
      </c>
      <c r="E53" s="2" t="s">
        <v>296</v>
      </c>
      <c r="F53" s="2" t="s">
        <v>302</v>
      </c>
      <c r="G53" s="2" t="s">
        <v>303</v>
      </c>
      <c r="H53" s="2" t="s">
        <v>304</v>
      </c>
      <c r="I53" s="2" t="s">
        <v>305</v>
      </c>
      <c r="J53" s="2" t="s">
        <v>76</v>
      </c>
      <c r="K53" s="2" t="s">
        <v>77</v>
      </c>
      <c r="L53" s="2"/>
      <c r="M53" s="2"/>
      <c r="N53" s="2"/>
      <c r="O53" s="2"/>
      <c r="P53" s="2"/>
      <c r="Q53" s="2"/>
    </row>
    <row r="54" spans="1:17" ht="28.8" x14ac:dyDescent="0.3">
      <c r="A54" s="2" t="s">
        <v>306</v>
      </c>
      <c r="B54" s="2"/>
      <c r="C54" s="2"/>
      <c r="D54" s="5" t="s">
        <v>295</v>
      </c>
      <c r="E54" s="2" t="s">
        <v>296</v>
      </c>
      <c r="F54" s="2" t="s">
        <v>307</v>
      </c>
      <c r="G54" s="2" t="s">
        <v>308</v>
      </c>
      <c r="H54" s="2" t="s">
        <v>309</v>
      </c>
      <c r="I54" s="2" t="s">
        <v>310</v>
      </c>
      <c r="J54" s="2" t="s">
        <v>76</v>
      </c>
      <c r="K54" s="2" t="s">
        <v>104</v>
      </c>
      <c r="L54" s="2"/>
      <c r="M54" s="2"/>
      <c r="N54" s="2"/>
      <c r="O54" s="2"/>
      <c r="P54" s="2"/>
      <c r="Q54" s="2"/>
    </row>
    <row r="55" spans="1:17" ht="28.8" x14ac:dyDescent="0.3">
      <c r="A55" s="2" t="s">
        <v>311</v>
      </c>
      <c r="B55" s="2"/>
      <c r="C55" s="2"/>
      <c r="D55" s="5" t="s">
        <v>295</v>
      </c>
      <c r="E55" s="2" t="s">
        <v>296</v>
      </c>
      <c r="F55" s="2" t="s">
        <v>312</v>
      </c>
      <c r="G55" s="2" t="s">
        <v>313</v>
      </c>
      <c r="H55" s="2" t="s">
        <v>314</v>
      </c>
      <c r="I55" s="2" t="s">
        <v>315</v>
      </c>
      <c r="J55" s="2" t="s">
        <v>197</v>
      </c>
      <c r="K55" s="2" t="s">
        <v>198</v>
      </c>
      <c r="L55" s="2"/>
      <c r="M55" s="2"/>
      <c r="N55" s="2"/>
      <c r="O55" s="2"/>
      <c r="P55" s="2"/>
      <c r="Q55" s="2"/>
    </row>
    <row r="56" spans="1:17" ht="28.8" x14ac:dyDescent="0.3">
      <c r="A56" s="2" t="s">
        <v>316</v>
      </c>
      <c r="B56" s="2"/>
      <c r="C56" s="2"/>
      <c r="D56" s="5" t="s">
        <v>295</v>
      </c>
      <c r="E56" s="2" t="s">
        <v>296</v>
      </c>
      <c r="F56" s="2" t="s">
        <v>317</v>
      </c>
      <c r="G56" s="2" t="s">
        <v>318</v>
      </c>
      <c r="H56" s="2" t="s">
        <v>319</v>
      </c>
      <c r="I56" s="2" t="s">
        <v>320</v>
      </c>
      <c r="J56" s="2" t="s">
        <v>37</v>
      </c>
      <c r="K56" s="2" t="s">
        <v>55</v>
      </c>
      <c r="L56" s="2"/>
      <c r="M56" s="2"/>
      <c r="N56" s="2"/>
      <c r="O56" s="2"/>
      <c r="P56" s="2"/>
      <c r="Q56" s="2"/>
    </row>
    <row r="57" spans="1:17" ht="28.8" x14ac:dyDescent="0.3">
      <c r="A57" s="2" t="s">
        <v>321</v>
      </c>
      <c r="B57" s="2"/>
      <c r="C57" s="2"/>
      <c r="D57" s="5" t="s">
        <v>295</v>
      </c>
      <c r="E57" s="2" t="s">
        <v>322</v>
      </c>
      <c r="F57" s="2" t="s">
        <v>323</v>
      </c>
      <c r="G57" s="2" t="s">
        <v>324</v>
      </c>
      <c r="H57" s="2" t="s">
        <v>325</v>
      </c>
      <c r="I57" s="2" t="s">
        <v>326</v>
      </c>
      <c r="J57" s="2" t="s">
        <v>197</v>
      </c>
      <c r="K57" s="2" t="s">
        <v>209</v>
      </c>
      <c r="L57" s="2"/>
      <c r="M57" s="2"/>
      <c r="N57" s="2"/>
      <c r="O57" s="2"/>
      <c r="P57" s="2"/>
      <c r="Q57" s="2"/>
    </row>
    <row r="58" spans="1:17" ht="28.8" x14ac:dyDescent="0.3">
      <c r="A58" s="2" t="s">
        <v>327</v>
      </c>
      <c r="B58" s="2"/>
      <c r="C58" s="2"/>
      <c r="D58" s="5" t="s">
        <v>295</v>
      </c>
      <c r="E58" s="2" t="s">
        <v>322</v>
      </c>
      <c r="F58" s="2" t="s">
        <v>328</v>
      </c>
      <c r="G58" s="2" t="s">
        <v>329</v>
      </c>
      <c r="H58" s="2" t="s">
        <v>330</v>
      </c>
      <c r="I58" s="2" t="s">
        <v>331</v>
      </c>
      <c r="J58" s="2" t="s">
        <v>76</v>
      </c>
      <c r="K58" s="2" t="s">
        <v>137</v>
      </c>
      <c r="L58" s="2"/>
      <c r="M58" s="2"/>
      <c r="N58" s="2"/>
      <c r="O58" s="2"/>
      <c r="P58" s="2"/>
      <c r="Q58" s="2"/>
    </row>
    <row r="59" spans="1:17" ht="28.8" x14ac:dyDescent="0.3">
      <c r="A59" s="2" t="s">
        <v>332</v>
      </c>
      <c r="B59" s="2"/>
      <c r="C59" s="2"/>
      <c r="D59" s="5" t="s">
        <v>295</v>
      </c>
      <c r="E59" s="2" t="s">
        <v>322</v>
      </c>
      <c r="F59" s="2" t="s">
        <v>333</v>
      </c>
      <c r="G59" s="2" t="s">
        <v>334</v>
      </c>
      <c r="H59" s="2" t="s">
        <v>335</v>
      </c>
      <c r="I59" s="2" t="s">
        <v>336</v>
      </c>
      <c r="J59" s="2" t="s">
        <v>76</v>
      </c>
      <c r="K59" s="2" t="s">
        <v>104</v>
      </c>
      <c r="L59" s="2"/>
      <c r="M59" s="2"/>
      <c r="N59" s="2"/>
      <c r="O59" s="2"/>
      <c r="P59" s="2"/>
      <c r="Q59" s="2"/>
    </row>
    <row r="60" spans="1:17" ht="28.8" x14ac:dyDescent="0.3">
      <c r="A60" s="2" t="s">
        <v>337</v>
      </c>
      <c r="B60" s="2"/>
      <c r="C60" s="2"/>
      <c r="D60" s="5" t="s">
        <v>295</v>
      </c>
      <c r="E60" s="2" t="s">
        <v>322</v>
      </c>
      <c r="F60" s="2" t="s">
        <v>338</v>
      </c>
      <c r="G60" s="2" t="s">
        <v>339</v>
      </c>
      <c r="H60" s="2" t="s">
        <v>340</v>
      </c>
      <c r="I60" s="2" t="s">
        <v>341</v>
      </c>
      <c r="J60" s="2" t="s">
        <v>197</v>
      </c>
      <c r="K60" s="2" t="s">
        <v>241</v>
      </c>
      <c r="L60" s="2"/>
      <c r="M60" s="2"/>
      <c r="N60" s="2"/>
      <c r="O60" s="2"/>
      <c r="P60" s="2"/>
      <c r="Q60" s="2"/>
    </row>
    <row r="61" spans="1:17" ht="28.8" x14ac:dyDescent="0.3">
      <c r="A61" s="2" t="s">
        <v>342</v>
      </c>
      <c r="B61" s="2"/>
      <c r="C61" s="2"/>
      <c r="D61" s="5" t="s">
        <v>295</v>
      </c>
      <c r="E61" s="2" t="s">
        <v>322</v>
      </c>
      <c r="F61" s="2" t="s">
        <v>343</v>
      </c>
      <c r="G61" s="2" t="s">
        <v>344</v>
      </c>
      <c r="H61" s="2" t="s">
        <v>345</v>
      </c>
      <c r="I61" s="2" t="s">
        <v>346</v>
      </c>
      <c r="J61" s="2" t="s">
        <v>76</v>
      </c>
      <c r="K61" s="2" t="s">
        <v>184</v>
      </c>
      <c r="L61" s="2"/>
      <c r="M61" s="2"/>
      <c r="N61" s="2"/>
      <c r="O61" s="2"/>
      <c r="P61" s="2"/>
      <c r="Q61" s="2"/>
    </row>
    <row r="62" spans="1:17" ht="28.8" x14ac:dyDescent="0.3">
      <c r="A62" s="2" t="s">
        <v>347</v>
      </c>
      <c r="B62" s="2"/>
      <c r="C62" s="2"/>
      <c r="D62" s="5" t="s">
        <v>295</v>
      </c>
      <c r="E62" s="2" t="s">
        <v>348</v>
      </c>
      <c r="F62" s="2" t="s">
        <v>349</v>
      </c>
      <c r="G62" s="2" t="s">
        <v>350</v>
      </c>
      <c r="H62" s="2" t="s">
        <v>351</v>
      </c>
      <c r="I62" s="2" t="s">
        <v>352</v>
      </c>
      <c r="J62" s="2" t="s">
        <v>197</v>
      </c>
      <c r="K62" s="2" t="s">
        <v>209</v>
      </c>
      <c r="L62" s="2"/>
      <c r="M62" s="2"/>
      <c r="N62" s="2"/>
      <c r="O62" s="2"/>
      <c r="P62" s="2"/>
      <c r="Q62" s="2"/>
    </row>
    <row r="63" spans="1:17" ht="28.8" x14ac:dyDescent="0.3">
      <c r="A63" s="2" t="s">
        <v>353</v>
      </c>
      <c r="B63" s="2"/>
      <c r="C63" s="2"/>
      <c r="D63" s="5" t="s">
        <v>295</v>
      </c>
      <c r="E63" s="2" t="s">
        <v>348</v>
      </c>
      <c r="F63" s="2" t="s">
        <v>354</v>
      </c>
      <c r="G63" s="2" t="s">
        <v>355</v>
      </c>
      <c r="H63" s="2" t="s">
        <v>356</v>
      </c>
      <c r="I63" s="2" t="s">
        <v>357</v>
      </c>
      <c r="J63" s="2" t="s">
        <v>76</v>
      </c>
      <c r="K63" s="2" t="s">
        <v>137</v>
      </c>
      <c r="L63" s="2"/>
      <c r="M63" s="2"/>
      <c r="N63" s="2"/>
      <c r="O63" s="2"/>
      <c r="P63" s="2"/>
      <c r="Q63" s="2"/>
    </row>
    <row r="64" spans="1:17" ht="28.8" x14ac:dyDescent="0.3">
      <c r="A64" s="2" t="s">
        <v>358</v>
      </c>
      <c r="B64" s="2"/>
      <c r="C64" s="2"/>
      <c r="D64" s="5" t="s">
        <v>295</v>
      </c>
      <c r="E64" s="2" t="s">
        <v>348</v>
      </c>
      <c r="F64" s="2" t="s">
        <v>359</v>
      </c>
      <c r="G64" s="2" t="s">
        <v>360</v>
      </c>
      <c r="H64" s="2" t="s">
        <v>361</v>
      </c>
      <c r="I64" s="2" t="s">
        <v>362</v>
      </c>
      <c r="J64" s="2" t="s">
        <v>76</v>
      </c>
      <c r="K64" s="2" t="s">
        <v>184</v>
      </c>
      <c r="L64" s="2"/>
      <c r="M64" s="2"/>
      <c r="N64" s="2"/>
      <c r="O64" s="2"/>
      <c r="P64" s="2"/>
      <c r="Q64" s="2"/>
    </row>
    <row r="65" spans="1:17" ht="28.8" x14ac:dyDescent="0.3">
      <c r="A65" s="2" t="s">
        <v>363</v>
      </c>
      <c r="B65" s="2"/>
      <c r="C65" s="2"/>
      <c r="D65" s="5" t="s">
        <v>295</v>
      </c>
      <c r="E65" s="2" t="s">
        <v>348</v>
      </c>
      <c r="F65" s="2" t="s">
        <v>364</v>
      </c>
      <c r="G65" s="2" t="s">
        <v>365</v>
      </c>
      <c r="H65" s="2" t="s">
        <v>366</v>
      </c>
      <c r="I65" s="2" t="s">
        <v>367</v>
      </c>
      <c r="J65" s="2" t="s">
        <v>76</v>
      </c>
      <c r="K65" s="2" t="s">
        <v>104</v>
      </c>
      <c r="L65" s="2"/>
      <c r="M65" s="2"/>
      <c r="N65" s="2"/>
      <c r="O65" s="2"/>
      <c r="P65" s="2"/>
      <c r="Q65" s="2"/>
    </row>
    <row r="66" spans="1:17" ht="28.8" x14ac:dyDescent="0.3">
      <c r="A66" s="2" t="s">
        <v>368</v>
      </c>
      <c r="B66" s="2"/>
      <c r="C66" s="2"/>
      <c r="D66" s="5" t="s">
        <v>295</v>
      </c>
      <c r="E66" s="2" t="s">
        <v>348</v>
      </c>
      <c r="F66" s="2" t="s">
        <v>369</v>
      </c>
      <c r="G66" s="2" t="s">
        <v>370</v>
      </c>
      <c r="H66" s="2" t="s">
        <v>371</v>
      </c>
      <c r="I66" s="2" t="s">
        <v>372</v>
      </c>
      <c r="J66" s="2" t="s">
        <v>197</v>
      </c>
      <c r="K66" s="2" t="s">
        <v>241</v>
      </c>
      <c r="L66" s="2"/>
      <c r="M66" s="2"/>
      <c r="N66" s="2"/>
      <c r="O66" s="2"/>
      <c r="P66" s="2"/>
      <c r="Q66" s="2"/>
    </row>
    <row r="67" spans="1:17" ht="28.8" x14ac:dyDescent="0.3">
      <c r="A67" s="2" t="s">
        <v>373</v>
      </c>
      <c r="B67" s="2"/>
      <c r="C67" s="2"/>
      <c r="D67" s="5" t="s">
        <v>295</v>
      </c>
      <c r="E67" s="2" t="s">
        <v>374</v>
      </c>
      <c r="F67" s="2" t="s">
        <v>375</v>
      </c>
      <c r="G67" s="2" t="s">
        <v>376</v>
      </c>
      <c r="H67" s="2" t="s">
        <v>377</v>
      </c>
      <c r="I67" s="2" t="s">
        <v>378</v>
      </c>
      <c r="J67" s="2" t="s">
        <v>76</v>
      </c>
      <c r="K67" s="2" t="s">
        <v>137</v>
      </c>
      <c r="L67" s="2"/>
      <c r="M67" s="2"/>
      <c r="N67" s="2"/>
      <c r="O67" s="2"/>
      <c r="P67" s="2"/>
      <c r="Q67" s="2"/>
    </row>
    <row r="68" spans="1:17" ht="28.8" x14ac:dyDescent="0.3">
      <c r="A68" s="2" t="s">
        <v>379</v>
      </c>
      <c r="B68" s="2"/>
      <c r="C68" s="2"/>
      <c r="D68" s="5" t="s">
        <v>295</v>
      </c>
      <c r="E68" s="2" t="s">
        <v>374</v>
      </c>
      <c r="F68" s="2" t="s">
        <v>380</v>
      </c>
      <c r="G68" s="2" t="s">
        <v>381</v>
      </c>
      <c r="H68" s="2" t="s">
        <v>382</v>
      </c>
      <c r="I68" s="2" t="s">
        <v>383</v>
      </c>
      <c r="J68" s="2" t="s">
        <v>76</v>
      </c>
      <c r="K68" s="2" t="s">
        <v>104</v>
      </c>
      <c r="L68" s="2"/>
      <c r="M68" s="2"/>
      <c r="N68" s="2"/>
      <c r="O68" s="2"/>
      <c r="P68" s="2"/>
      <c r="Q68" s="2"/>
    </row>
    <row r="69" spans="1:17" ht="28.8" x14ac:dyDescent="0.3">
      <c r="A69" s="2" t="s">
        <v>384</v>
      </c>
      <c r="B69" s="2"/>
      <c r="C69" s="2"/>
      <c r="D69" s="5" t="s">
        <v>295</v>
      </c>
      <c r="E69" s="2" t="s">
        <v>374</v>
      </c>
      <c r="F69" s="2" t="s">
        <v>385</v>
      </c>
      <c r="G69" s="2" t="s">
        <v>386</v>
      </c>
      <c r="H69" s="2" t="s">
        <v>387</v>
      </c>
      <c r="I69" s="2" t="s">
        <v>388</v>
      </c>
      <c r="J69" s="2" t="s">
        <v>76</v>
      </c>
      <c r="K69" s="2" t="s">
        <v>184</v>
      </c>
      <c r="L69" s="2"/>
      <c r="M69" s="2"/>
      <c r="N69" s="2"/>
      <c r="O69" s="2"/>
      <c r="P69" s="2"/>
      <c r="Q69" s="2"/>
    </row>
    <row r="70" spans="1:17" ht="28.8" x14ac:dyDescent="0.3">
      <c r="A70" s="2" t="s">
        <v>389</v>
      </c>
      <c r="B70" s="2"/>
      <c r="C70" s="2"/>
      <c r="D70" s="5" t="s">
        <v>295</v>
      </c>
      <c r="E70" s="2" t="s">
        <v>374</v>
      </c>
      <c r="F70" s="2" t="s">
        <v>390</v>
      </c>
      <c r="G70" s="2" t="s">
        <v>391</v>
      </c>
      <c r="H70" s="2" t="s">
        <v>392</v>
      </c>
      <c r="I70" s="2" t="s">
        <v>393</v>
      </c>
      <c r="J70" s="2" t="s">
        <v>197</v>
      </c>
      <c r="K70" s="2" t="s">
        <v>198</v>
      </c>
      <c r="L70" s="2"/>
      <c r="M70" s="2"/>
      <c r="N70" s="2"/>
      <c r="O70" s="2"/>
      <c r="P70" s="2"/>
      <c r="Q70" s="2"/>
    </row>
    <row r="71" spans="1:17" ht="28.8" x14ac:dyDescent="0.3">
      <c r="A71" s="2" t="s">
        <v>394</v>
      </c>
      <c r="B71" s="2"/>
      <c r="C71" s="2"/>
      <c r="D71" s="5" t="s">
        <v>295</v>
      </c>
      <c r="E71" s="2" t="s">
        <v>374</v>
      </c>
      <c r="F71" s="2" t="s">
        <v>395</v>
      </c>
      <c r="G71" s="2" t="s">
        <v>396</v>
      </c>
      <c r="H71" s="2" t="s">
        <v>397</v>
      </c>
      <c r="I71" s="2" t="s">
        <v>398</v>
      </c>
      <c r="J71" s="2" t="s">
        <v>76</v>
      </c>
      <c r="K71" s="2" t="s">
        <v>137</v>
      </c>
      <c r="L71" s="2"/>
      <c r="M71" s="2"/>
      <c r="N71" s="2"/>
      <c r="O71" s="2"/>
      <c r="P71" s="2"/>
      <c r="Q71" s="2"/>
    </row>
    <row r="72" spans="1:17" ht="28.8" x14ac:dyDescent="0.3">
      <c r="A72" s="2" t="s">
        <v>399</v>
      </c>
      <c r="B72" s="2"/>
      <c r="C72" s="2"/>
      <c r="D72" s="6" t="s">
        <v>400</v>
      </c>
      <c r="E72" s="2" t="s">
        <v>401</v>
      </c>
      <c r="F72" s="2" t="s">
        <v>402</v>
      </c>
      <c r="G72" s="2" t="s">
        <v>403</v>
      </c>
      <c r="H72" s="2" t="s">
        <v>404</v>
      </c>
      <c r="I72" s="2" t="s">
        <v>405</v>
      </c>
      <c r="J72" s="2" t="s">
        <v>76</v>
      </c>
      <c r="K72" s="2" t="s">
        <v>104</v>
      </c>
      <c r="L72" s="2"/>
      <c r="M72" s="2"/>
      <c r="N72" s="2"/>
      <c r="O72" s="2"/>
      <c r="P72" s="2"/>
      <c r="Q72" s="2"/>
    </row>
    <row r="73" spans="1:17" ht="28.8" x14ac:dyDescent="0.3">
      <c r="A73" s="2" t="s">
        <v>406</v>
      </c>
      <c r="B73" s="2"/>
      <c r="C73" s="2"/>
      <c r="D73" s="6" t="s">
        <v>400</v>
      </c>
      <c r="E73" s="2" t="s">
        <v>401</v>
      </c>
      <c r="F73" s="2" t="s">
        <v>407</v>
      </c>
      <c r="G73" s="2" t="s">
        <v>408</v>
      </c>
      <c r="H73" s="2" t="s">
        <v>409</v>
      </c>
      <c r="I73" s="2" t="s">
        <v>410</v>
      </c>
      <c r="J73" s="2" t="s">
        <v>197</v>
      </c>
      <c r="K73" s="2" t="s">
        <v>209</v>
      </c>
      <c r="L73" s="2"/>
      <c r="M73" s="2"/>
      <c r="N73" s="2"/>
      <c r="O73" s="2"/>
      <c r="P73" s="2"/>
      <c r="Q73" s="2"/>
    </row>
    <row r="74" spans="1:17" ht="28.8" x14ac:dyDescent="0.3">
      <c r="A74" s="2" t="s">
        <v>411</v>
      </c>
      <c r="B74" s="2"/>
      <c r="C74" s="2"/>
      <c r="D74" s="6" t="s">
        <v>400</v>
      </c>
      <c r="E74" s="2" t="s">
        <v>401</v>
      </c>
      <c r="F74" s="2" t="s">
        <v>412</v>
      </c>
      <c r="G74" s="2" t="s">
        <v>413</v>
      </c>
      <c r="H74" s="2" t="s">
        <v>414</v>
      </c>
      <c r="I74" s="2" t="s">
        <v>415</v>
      </c>
      <c r="J74" s="2" t="s">
        <v>37</v>
      </c>
      <c r="K74" s="2" t="s">
        <v>55</v>
      </c>
      <c r="L74" s="2"/>
      <c r="M74" s="2"/>
      <c r="N74" s="2"/>
      <c r="O74" s="2"/>
      <c r="P74" s="2"/>
      <c r="Q74" s="2"/>
    </row>
    <row r="75" spans="1:17" ht="28.8" x14ac:dyDescent="0.3">
      <c r="A75" s="2" t="s">
        <v>416</v>
      </c>
      <c r="B75" s="2"/>
      <c r="C75" s="2"/>
      <c r="D75" s="6" t="s">
        <v>400</v>
      </c>
      <c r="E75" s="2" t="s">
        <v>401</v>
      </c>
      <c r="F75" s="2" t="s">
        <v>417</v>
      </c>
      <c r="G75" s="2" t="s">
        <v>418</v>
      </c>
      <c r="H75" s="2" t="s">
        <v>419</v>
      </c>
      <c r="I75" s="2" t="s">
        <v>420</v>
      </c>
      <c r="J75" s="2" t="s">
        <v>76</v>
      </c>
      <c r="K75" s="2" t="s">
        <v>184</v>
      </c>
      <c r="L75" s="2"/>
      <c r="M75" s="2"/>
      <c r="N75" s="2"/>
      <c r="O75" s="2"/>
      <c r="P75" s="2"/>
      <c r="Q75" s="2"/>
    </row>
    <row r="76" spans="1:17" ht="28.8" x14ac:dyDescent="0.3">
      <c r="A76" s="2" t="s">
        <v>421</v>
      </c>
      <c r="B76" s="2"/>
      <c r="C76" s="2"/>
      <c r="D76" s="6" t="s">
        <v>400</v>
      </c>
      <c r="E76" s="2" t="s">
        <v>401</v>
      </c>
      <c r="F76" s="2" t="s">
        <v>422</v>
      </c>
      <c r="G76" s="2" t="s">
        <v>423</v>
      </c>
      <c r="H76" s="2" t="s">
        <v>424</v>
      </c>
      <c r="I76" s="2" t="s">
        <v>305</v>
      </c>
      <c r="J76" s="2" t="s">
        <v>76</v>
      </c>
      <c r="K76" s="2" t="s">
        <v>77</v>
      </c>
      <c r="L76" s="2"/>
      <c r="M76" s="2"/>
      <c r="N76" s="2"/>
      <c r="O76" s="2"/>
      <c r="P76" s="2"/>
      <c r="Q76" s="2"/>
    </row>
    <row r="77" spans="1:17" ht="28.8" x14ac:dyDescent="0.3">
      <c r="A77" s="2" t="s">
        <v>425</v>
      </c>
      <c r="B77" s="2"/>
      <c r="C77" s="2"/>
      <c r="D77" s="6" t="s">
        <v>400</v>
      </c>
      <c r="E77" s="2" t="s">
        <v>426</v>
      </c>
      <c r="F77" s="2" t="s">
        <v>427</v>
      </c>
      <c r="G77" s="2" t="s">
        <v>428</v>
      </c>
      <c r="H77" s="2" t="s">
        <v>429</v>
      </c>
      <c r="I77" s="2" t="s">
        <v>430</v>
      </c>
      <c r="J77" s="2" t="s">
        <v>197</v>
      </c>
      <c r="K77" s="2" t="s">
        <v>241</v>
      </c>
      <c r="L77" s="2"/>
      <c r="M77" s="2"/>
      <c r="N77" s="2"/>
      <c r="O77" s="2"/>
      <c r="P77" s="2"/>
      <c r="Q77" s="2"/>
    </row>
    <row r="78" spans="1:17" ht="28.8" x14ac:dyDescent="0.3">
      <c r="A78" s="2" t="s">
        <v>431</v>
      </c>
      <c r="B78" s="2"/>
      <c r="C78" s="2"/>
      <c r="D78" s="6" t="s">
        <v>400</v>
      </c>
      <c r="E78" s="2" t="s">
        <v>426</v>
      </c>
      <c r="F78" s="2" t="s">
        <v>432</v>
      </c>
      <c r="G78" s="2" t="s">
        <v>433</v>
      </c>
      <c r="H78" s="2" t="s">
        <v>434</v>
      </c>
      <c r="I78" s="2" t="s">
        <v>435</v>
      </c>
      <c r="J78" s="2" t="s">
        <v>76</v>
      </c>
      <c r="K78" s="2" t="s">
        <v>137</v>
      </c>
      <c r="L78" s="2"/>
      <c r="M78" s="2"/>
      <c r="N78" s="2"/>
      <c r="O78" s="2"/>
      <c r="P78" s="2"/>
      <c r="Q78" s="2"/>
    </row>
    <row r="79" spans="1:17" ht="28.8" x14ac:dyDescent="0.3">
      <c r="A79" s="2" t="s">
        <v>436</v>
      </c>
      <c r="B79" s="2"/>
      <c r="C79" s="2"/>
      <c r="D79" s="6" t="s">
        <v>400</v>
      </c>
      <c r="E79" s="2" t="s">
        <v>426</v>
      </c>
      <c r="F79" s="2" t="s">
        <v>437</v>
      </c>
      <c r="G79" s="2" t="s">
        <v>438</v>
      </c>
      <c r="H79" s="2" t="s">
        <v>439</v>
      </c>
      <c r="I79" s="2" t="s">
        <v>440</v>
      </c>
      <c r="J79" s="2" t="s">
        <v>197</v>
      </c>
      <c r="K79" s="2" t="s">
        <v>209</v>
      </c>
      <c r="L79" s="2"/>
      <c r="M79" s="2"/>
      <c r="N79" s="2"/>
      <c r="O79" s="2"/>
      <c r="P79" s="2"/>
      <c r="Q79" s="2"/>
    </row>
    <row r="80" spans="1:17" ht="28.8" x14ac:dyDescent="0.3">
      <c r="A80" s="2" t="s">
        <v>441</v>
      </c>
      <c r="B80" s="2"/>
      <c r="C80" s="2"/>
      <c r="D80" s="6" t="s">
        <v>400</v>
      </c>
      <c r="E80" s="2" t="s">
        <v>426</v>
      </c>
      <c r="F80" s="2" t="s">
        <v>442</v>
      </c>
      <c r="G80" s="2" t="s">
        <v>443</v>
      </c>
      <c r="H80" s="2" t="s">
        <v>444</v>
      </c>
      <c r="I80" s="2" t="s">
        <v>445</v>
      </c>
      <c r="J80" s="2" t="s">
        <v>197</v>
      </c>
      <c r="K80" s="2" t="s">
        <v>241</v>
      </c>
      <c r="L80" s="2"/>
      <c r="M80" s="2"/>
      <c r="N80" s="2"/>
      <c r="O80" s="2"/>
      <c r="P80" s="2"/>
      <c r="Q80" s="2"/>
    </row>
    <row r="81" spans="1:17" ht="28.8" x14ac:dyDescent="0.3">
      <c r="A81" s="2" t="s">
        <v>446</v>
      </c>
      <c r="B81" s="2"/>
      <c r="C81" s="2"/>
      <c r="D81" s="6" t="s">
        <v>400</v>
      </c>
      <c r="E81" s="2" t="s">
        <v>426</v>
      </c>
      <c r="F81" s="2" t="s">
        <v>447</v>
      </c>
      <c r="G81" s="2" t="s">
        <v>448</v>
      </c>
      <c r="H81" s="2" t="s">
        <v>449</v>
      </c>
      <c r="I81" s="2" t="s">
        <v>450</v>
      </c>
      <c r="J81" s="2" t="s">
        <v>76</v>
      </c>
      <c r="K81" s="2" t="s">
        <v>137</v>
      </c>
      <c r="L81" s="2"/>
      <c r="M81" s="2"/>
      <c r="N81" s="2"/>
      <c r="O81" s="2"/>
      <c r="P81" s="2"/>
      <c r="Q81" s="2"/>
    </row>
    <row r="82" spans="1:17" ht="28.8" x14ac:dyDescent="0.3">
      <c r="A82" s="2" t="s">
        <v>451</v>
      </c>
      <c r="B82" s="2"/>
      <c r="C82" s="2"/>
      <c r="D82" s="6" t="s">
        <v>400</v>
      </c>
      <c r="E82" s="2" t="s">
        <v>452</v>
      </c>
      <c r="F82" s="2" t="s">
        <v>453</v>
      </c>
      <c r="G82" s="2" t="s">
        <v>454</v>
      </c>
      <c r="H82" s="2" t="s">
        <v>455</v>
      </c>
      <c r="I82" s="2" t="s">
        <v>456</v>
      </c>
      <c r="J82" s="2" t="s">
        <v>197</v>
      </c>
      <c r="K82" s="2" t="s">
        <v>198</v>
      </c>
      <c r="L82" s="2"/>
      <c r="M82" s="2"/>
      <c r="N82" s="2"/>
      <c r="O82" s="2"/>
      <c r="P82" s="2"/>
      <c r="Q82" s="2"/>
    </row>
    <row r="83" spans="1:17" ht="28.8" x14ac:dyDescent="0.3">
      <c r="A83" s="2" t="s">
        <v>457</v>
      </c>
      <c r="B83" s="2"/>
      <c r="C83" s="2"/>
      <c r="D83" s="6" t="s">
        <v>400</v>
      </c>
      <c r="E83" s="2" t="s">
        <v>452</v>
      </c>
      <c r="F83" s="2" t="s">
        <v>458</v>
      </c>
      <c r="G83" s="2" t="s">
        <v>459</v>
      </c>
      <c r="H83" s="2" t="s">
        <v>460</v>
      </c>
      <c r="I83" s="2" t="s">
        <v>461</v>
      </c>
      <c r="J83" s="2" t="s">
        <v>76</v>
      </c>
      <c r="K83" s="2" t="s">
        <v>137</v>
      </c>
      <c r="L83" s="2"/>
      <c r="M83" s="2"/>
      <c r="N83" s="2"/>
      <c r="O83" s="2"/>
      <c r="P83" s="2"/>
      <c r="Q83" s="2"/>
    </row>
    <row r="84" spans="1:17" ht="28.8" x14ac:dyDescent="0.3">
      <c r="A84" s="2" t="s">
        <v>462</v>
      </c>
      <c r="B84" s="2"/>
      <c r="C84" s="2"/>
      <c r="D84" s="6" t="s">
        <v>400</v>
      </c>
      <c r="E84" s="2" t="s">
        <v>452</v>
      </c>
      <c r="F84" s="2" t="s">
        <v>463</v>
      </c>
      <c r="G84" s="2" t="s">
        <v>464</v>
      </c>
      <c r="H84" s="2" t="s">
        <v>465</v>
      </c>
      <c r="I84" s="2" t="s">
        <v>466</v>
      </c>
      <c r="J84" s="2" t="s">
        <v>76</v>
      </c>
      <c r="K84" s="2" t="s">
        <v>184</v>
      </c>
      <c r="L84" s="2"/>
      <c r="M84" s="2"/>
      <c r="N84" s="2"/>
      <c r="O84" s="2"/>
      <c r="P84" s="2"/>
      <c r="Q84" s="2"/>
    </row>
    <row r="85" spans="1:17" ht="28.8" x14ac:dyDescent="0.3">
      <c r="A85" s="2" t="s">
        <v>467</v>
      </c>
      <c r="B85" s="2"/>
      <c r="C85" s="2"/>
      <c r="D85" s="6" t="s">
        <v>400</v>
      </c>
      <c r="E85" s="2" t="s">
        <v>452</v>
      </c>
      <c r="F85" s="2" t="s">
        <v>468</v>
      </c>
      <c r="G85" s="2" t="s">
        <v>469</v>
      </c>
      <c r="H85" s="2" t="s">
        <v>470</v>
      </c>
      <c r="I85" s="2" t="s">
        <v>471</v>
      </c>
      <c r="J85" s="2" t="s">
        <v>76</v>
      </c>
      <c r="K85" s="2" t="s">
        <v>104</v>
      </c>
      <c r="L85" s="2"/>
      <c r="M85" s="2"/>
      <c r="N85" s="2"/>
      <c r="O85" s="2"/>
      <c r="P85" s="2"/>
      <c r="Q85" s="2"/>
    </row>
    <row r="86" spans="1:17" ht="28.8" x14ac:dyDescent="0.3">
      <c r="A86" s="2" t="s">
        <v>472</v>
      </c>
      <c r="B86" s="2"/>
      <c r="C86" s="2"/>
      <c r="D86" s="6" t="s">
        <v>400</v>
      </c>
      <c r="E86" s="2" t="s">
        <v>452</v>
      </c>
      <c r="F86" s="2" t="s">
        <v>473</v>
      </c>
      <c r="G86" s="2" t="s">
        <v>474</v>
      </c>
      <c r="H86" s="2" t="s">
        <v>475</v>
      </c>
      <c r="I86" s="2" t="s">
        <v>476</v>
      </c>
      <c r="J86" s="2" t="s">
        <v>76</v>
      </c>
      <c r="K86" s="2" t="s">
        <v>137</v>
      </c>
      <c r="L86" s="2"/>
      <c r="M86" s="2"/>
      <c r="N86" s="2"/>
      <c r="O86" s="2"/>
      <c r="P86" s="2"/>
      <c r="Q86" s="2"/>
    </row>
    <row r="87" spans="1:17" ht="28.8" x14ac:dyDescent="0.3">
      <c r="A87" s="2" t="s">
        <v>477</v>
      </c>
      <c r="B87" s="2"/>
      <c r="C87" s="2"/>
      <c r="D87" s="6" t="s">
        <v>400</v>
      </c>
      <c r="E87" s="2" t="s">
        <v>478</v>
      </c>
      <c r="F87" s="2" t="s">
        <v>479</v>
      </c>
      <c r="G87" s="2" t="s">
        <v>480</v>
      </c>
      <c r="H87" s="2" t="s">
        <v>481</v>
      </c>
      <c r="I87" s="2" t="s">
        <v>482</v>
      </c>
      <c r="J87" s="2" t="s">
        <v>197</v>
      </c>
      <c r="K87" s="2" t="s">
        <v>241</v>
      </c>
      <c r="L87" s="2"/>
      <c r="M87" s="2"/>
      <c r="N87" s="2"/>
      <c r="O87" s="2"/>
      <c r="P87" s="2"/>
      <c r="Q87" s="2"/>
    </row>
    <row r="88" spans="1:17" ht="28.8" x14ac:dyDescent="0.3">
      <c r="A88" s="2" t="s">
        <v>483</v>
      </c>
      <c r="B88" s="2"/>
      <c r="C88" s="2"/>
      <c r="D88" s="6" t="s">
        <v>400</v>
      </c>
      <c r="E88" s="2" t="s">
        <v>478</v>
      </c>
      <c r="F88" s="2" t="s">
        <v>484</v>
      </c>
      <c r="G88" s="2" t="s">
        <v>485</v>
      </c>
      <c r="H88" s="2" t="s">
        <v>486</v>
      </c>
      <c r="I88" s="2" t="s">
        <v>487</v>
      </c>
      <c r="J88" s="2" t="s">
        <v>197</v>
      </c>
      <c r="K88" s="2" t="s">
        <v>209</v>
      </c>
      <c r="L88" s="2"/>
      <c r="M88" s="2"/>
      <c r="N88" s="2"/>
      <c r="O88" s="2"/>
      <c r="P88" s="2"/>
      <c r="Q88" s="2"/>
    </row>
    <row r="89" spans="1:17" ht="28.8" x14ac:dyDescent="0.3">
      <c r="A89" s="2" t="s">
        <v>488</v>
      </c>
      <c r="B89" s="2"/>
      <c r="C89" s="2"/>
      <c r="D89" s="6" t="s">
        <v>400</v>
      </c>
      <c r="E89" s="2" t="s">
        <v>478</v>
      </c>
      <c r="F89" s="2" t="s">
        <v>489</v>
      </c>
      <c r="G89" s="2" t="s">
        <v>490</v>
      </c>
      <c r="H89" s="2" t="s">
        <v>491</v>
      </c>
      <c r="I89" s="2" t="s">
        <v>492</v>
      </c>
      <c r="J89" s="2" t="s">
        <v>76</v>
      </c>
      <c r="K89" s="2" t="s">
        <v>184</v>
      </c>
      <c r="L89" s="2"/>
      <c r="M89" s="2"/>
      <c r="N89" s="2"/>
      <c r="O89" s="2"/>
      <c r="P89" s="2"/>
      <c r="Q89" s="2"/>
    </row>
    <row r="90" spans="1:17" ht="28.8" x14ac:dyDescent="0.3">
      <c r="A90" s="2" t="s">
        <v>493</v>
      </c>
      <c r="B90" s="2"/>
      <c r="C90" s="2"/>
      <c r="D90" s="6" t="s">
        <v>400</v>
      </c>
      <c r="E90" s="2" t="s">
        <v>478</v>
      </c>
      <c r="F90" s="2" t="s">
        <v>494</v>
      </c>
      <c r="G90" s="2" t="s">
        <v>495</v>
      </c>
      <c r="H90" s="2" t="s">
        <v>496</v>
      </c>
      <c r="I90" s="2" t="s">
        <v>497</v>
      </c>
      <c r="J90" s="2" t="s">
        <v>197</v>
      </c>
      <c r="K90" s="2" t="s">
        <v>498</v>
      </c>
      <c r="L90" s="2"/>
      <c r="M90" s="2"/>
      <c r="N90" s="2"/>
      <c r="O90" s="2"/>
      <c r="P90" s="2"/>
      <c r="Q90" s="2"/>
    </row>
    <row r="91" spans="1:17" ht="28.8" x14ac:dyDescent="0.3">
      <c r="A91" s="2" t="s">
        <v>499</v>
      </c>
      <c r="B91" s="2"/>
      <c r="C91" s="2"/>
      <c r="D91" s="6" t="s">
        <v>400</v>
      </c>
      <c r="E91" s="2" t="s">
        <v>478</v>
      </c>
      <c r="F91" s="2" t="s">
        <v>500</v>
      </c>
      <c r="G91" s="2" t="s">
        <v>501</v>
      </c>
      <c r="H91" s="2" t="s">
        <v>502</v>
      </c>
      <c r="I91" s="2" t="s">
        <v>503</v>
      </c>
      <c r="J91" s="2" t="s">
        <v>197</v>
      </c>
      <c r="K91" s="2" t="s">
        <v>504</v>
      </c>
      <c r="L91" s="2"/>
      <c r="M91" s="2"/>
      <c r="N91" s="2"/>
      <c r="O91" s="2"/>
      <c r="P91" s="2"/>
      <c r="Q91" s="2"/>
    </row>
    <row r="92" spans="1:17" ht="28.8" x14ac:dyDescent="0.3">
      <c r="A92" s="2" t="s">
        <v>505</v>
      </c>
      <c r="B92" s="2"/>
      <c r="C92" s="2"/>
      <c r="D92" s="2" t="s">
        <v>506</v>
      </c>
      <c r="E92" s="2" t="s">
        <v>507</v>
      </c>
      <c r="F92" s="2" t="s">
        <v>508</v>
      </c>
      <c r="G92" s="2" t="s">
        <v>509</v>
      </c>
      <c r="H92" s="2" t="s">
        <v>510</v>
      </c>
      <c r="I92" s="2" t="s">
        <v>511</v>
      </c>
      <c r="J92" s="2" t="s">
        <v>76</v>
      </c>
      <c r="K92" s="2" t="s">
        <v>137</v>
      </c>
      <c r="L92" s="2"/>
      <c r="M92" s="2"/>
      <c r="N92" s="2"/>
      <c r="O92" s="2"/>
      <c r="P92" s="2"/>
      <c r="Q92" s="2"/>
    </row>
    <row r="93" spans="1:17" ht="28.8" x14ac:dyDescent="0.3">
      <c r="A93" s="2" t="s">
        <v>512</v>
      </c>
      <c r="B93" s="2"/>
      <c r="C93" s="2"/>
      <c r="D93" s="2" t="s">
        <v>506</v>
      </c>
      <c r="E93" s="2" t="s">
        <v>507</v>
      </c>
      <c r="F93" s="2" t="s">
        <v>513</v>
      </c>
      <c r="G93" s="2" t="s">
        <v>514</v>
      </c>
      <c r="H93" s="2" t="s">
        <v>515</v>
      </c>
      <c r="I93" s="2" t="s">
        <v>516</v>
      </c>
      <c r="J93" s="2" t="s">
        <v>76</v>
      </c>
      <c r="K93" s="2" t="s">
        <v>104</v>
      </c>
      <c r="L93" s="2"/>
      <c r="M93" s="2"/>
      <c r="N93" s="2"/>
      <c r="O93" s="2"/>
      <c r="P93" s="2"/>
      <c r="Q93" s="2"/>
    </row>
    <row r="94" spans="1:17" ht="28.8" x14ac:dyDescent="0.3">
      <c r="A94" s="2" t="s">
        <v>517</v>
      </c>
      <c r="B94" s="2"/>
      <c r="C94" s="2"/>
      <c r="D94" s="2" t="s">
        <v>506</v>
      </c>
      <c r="E94" s="2" t="s">
        <v>507</v>
      </c>
      <c r="F94" s="2" t="s">
        <v>518</v>
      </c>
      <c r="G94" s="2" t="s">
        <v>519</v>
      </c>
      <c r="H94" s="2" t="s">
        <v>520</v>
      </c>
      <c r="I94" s="2" t="s">
        <v>521</v>
      </c>
      <c r="J94" s="2" t="s">
        <v>197</v>
      </c>
      <c r="K94" s="2" t="s">
        <v>241</v>
      </c>
      <c r="L94" s="2"/>
      <c r="M94" s="2"/>
      <c r="N94" s="2"/>
      <c r="O94" s="2"/>
      <c r="P94" s="2"/>
      <c r="Q94" s="2"/>
    </row>
    <row r="95" spans="1:17" ht="28.8" x14ac:dyDescent="0.3">
      <c r="A95" s="2" t="s">
        <v>522</v>
      </c>
      <c r="B95" s="2"/>
      <c r="C95" s="2"/>
      <c r="D95" s="2" t="s">
        <v>506</v>
      </c>
      <c r="E95" s="2" t="s">
        <v>507</v>
      </c>
      <c r="F95" s="2" t="s">
        <v>523</v>
      </c>
      <c r="G95" s="2" t="s">
        <v>524</v>
      </c>
      <c r="H95" s="2" t="s">
        <v>525</v>
      </c>
      <c r="I95" s="2" t="s">
        <v>526</v>
      </c>
      <c r="J95" s="2" t="s">
        <v>197</v>
      </c>
      <c r="K95" s="2" t="s">
        <v>209</v>
      </c>
      <c r="L95" s="2"/>
      <c r="M95" s="2"/>
      <c r="N95" s="2"/>
      <c r="O95" s="2"/>
      <c r="P95" s="2"/>
      <c r="Q95" s="2"/>
    </row>
    <row r="96" spans="1:17" ht="28.8" x14ac:dyDescent="0.3">
      <c r="A96" s="2" t="s">
        <v>527</v>
      </c>
      <c r="B96" s="2"/>
      <c r="C96" s="2"/>
      <c r="D96" s="2" t="s">
        <v>506</v>
      </c>
      <c r="E96" s="2" t="s">
        <v>507</v>
      </c>
      <c r="F96" s="2" t="s">
        <v>528</v>
      </c>
      <c r="G96" s="2" t="s">
        <v>529</v>
      </c>
      <c r="H96" s="2" t="s">
        <v>530</v>
      </c>
      <c r="I96" s="2" t="s">
        <v>531</v>
      </c>
      <c r="J96" s="2" t="s">
        <v>76</v>
      </c>
      <c r="K96" s="2" t="s">
        <v>184</v>
      </c>
      <c r="L96" s="2"/>
      <c r="M96" s="2"/>
      <c r="N96" s="2"/>
      <c r="O96" s="2"/>
      <c r="P96" s="2"/>
      <c r="Q96" s="2"/>
    </row>
    <row r="97" spans="1:17" ht="28.8" x14ac:dyDescent="0.3">
      <c r="A97" s="2" t="s">
        <v>532</v>
      </c>
      <c r="B97" s="2"/>
      <c r="C97" s="2"/>
      <c r="D97" s="2" t="s">
        <v>506</v>
      </c>
      <c r="E97" s="2" t="s">
        <v>533</v>
      </c>
      <c r="F97" s="2" t="s">
        <v>534</v>
      </c>
      <c r="G97" s="2" t="s">
        <v>535</v>
      </c>
      <c r="H97" s="2" t="s">
        <v>536</v>
      </c>
      <c r="I97" s="2" t="s">
        <v>537</v>
      </c>
      <c r="J97" s="2" t="s">
        <v>197</v>
      </c>
      <c r="K97" s="2" t="s">
        <v>209</v>
      </c>
      <c r="L97" s="2"/>
      <c r="M97" s="2"/>
      <c r="N97" s="2"/>
      <c r="O97" s="2"/>
      <c r="P97" s="2"/>
      <c r="Q97" s="2"/>
    </row>
    <row r="98" spans="1:17" ht="28.8" x14ac:dyDescent="0.3">
      <c r="A98" s="2" t="s">
        <v>538</v>
      </c>
      <c r="B98" s="2"/>
      <c r="C98" s="2"/>
      <c r="D98" s="2" t="s">
        <v>506</v>
      </c>
      <c r="E98" s="2" t="s">
        <v>533</v>
      </c>
      <c r="F98" s="2" t="s">
        <v>539</v>
      </c>
      <c r="G98" s="2" t="s">
        <v>540</v>
      </c>
      <c r="H98" s="2" t="s">
        <v>541</v>
      </c>
      <c r="I98" s="2" t="s">
        <v>542</v>
      </c>
      <c r="J98" s="2" t="s">
        <v>197</v>
      </c>
      <c r="K98" s="2" t="s">
        <v>498</v>
      </c>
      <c r="L98" s="2"/>
      <c r="M98" s="2"/>
      <c r="N98" s="2"/>
      <c r="O98" s="2"/>
      <c r="P98" s="2"/>
      <c r="Q98" s="2"/>
    </row>
    <row r="99" spans="1:17" ht="28.8" x14ac:dyDescent="0.3">
      <c r="A99" s="2" t="s">
        <v>543</v>
      </c>
      <c r="B99" s="2"/>
      <c r="C99" s="2"/>
      <c r="D99" s="2" t="s">
        <v>506</v>
      </c>
      <c r="E99" s="2" t="s">
        <v>533</v>
      </c>
      <c r="F99" s="2" t="s">
        <v>544</v>
      </c>
      <c r="G99" s="2" t="s">
        <v>545</v>
      </c>
      <c r="H99" s="2" t="s">
        <v>546</v>
      </c>
      <c r="I99" s="2" t="s">
        <v>547</v>
      </c>
      <c r="J99" s="2" t="s">
        <v>197</v>
      </c>
      <c r="K99" s="2" t="s">
        <v>241</v>
      </c>
      <c r="L99" s="2"/>
      <c r="M99" s="2"/>
      <c r="N99" s="2"/>
      <c r="O99" s="2"/>
      <c r="P99" s="2"/>
      <c r="Q99" s="2"/>
    </row>
    <row r="100" spans="1:17" ht="28.8" x14ac:dyDescent="0.3">
      <c r="A100" s="2" t="s">
        <v>548</v>
      </c>
      <c r="B100" s="2"/>
      <c r="C100" s="2"/>
      <c r="D100" s="2" t="s">
        <v>506</v>
      </c>
      <c r="E100" s="2" t="s">
        <v>533</v>
      </c>
      <c r="F100" s="2" t="s">
        <v>549</v>
      </c>
      <c r="G100" s="2" t="s">
        <v>550</v>
      </c>
      <c r="H100" s="2" t="s">
        <v>551</v>
      </c>
      <c r="I100" s="2" t="s">
        <v>552</v>
      </c>
      <c r="J100" s="2" t="s">
        <v>197</v>
      </c>
      <c r="K100" s="2" t="s">
        <v>209</v>
      </c>
      <c r="L100" s="2"/>
      <c r="M100" s="2"/>
      <c r="N100" s="2"/>
      <c r="O100" s="2"/>
      <c r="P100" s="2"/>
      <c r="Q100" s="2"/>
    </row>
    <row r="101" spans="1:17" ht="28.8" x14ac:dyDescent="0.3">
      <c r="A101" s="2" t="s">
        <v>553</v>
      </c>
      <c r="B101" s="2"/>
      <c r="C101" s="2"/>
      <c r="D101" s="2" t="s">
        <v>506</v>
      </c>
      <c r="E101" s="2" t="s">
        <v>533</v>
      </c>
      <c r="F101" s="2" t="s">
        <v>554</v>
      </c>
      <c r="G101" s="2" t="s">
        <v>555</v>
      </c>
      <c r="H101" s="2" t="s">
        <v>556</v>
      </c>
      <c r="I101" s="2" t="s">
        <v>557</v>
      </c>
      <c r="J101" s="2" t="s">
        <v>76</v>
      </c>
      <c r="K101" s="2" t="s">
        <v>198</v>
      </c>
      <c r="L101" s="2"/>
      <c r="M101" s="2"/>
      <c r="N101" s="2"/>
      <c r="O101" s="2"/>
      <c r="P101" s="2"/>
      <c r="Q101" s="2"/>
    </row>
    <row r="102" spans="1:17" ht="28.8" x14ac:dyDescent="0.3">
      <c r="A102" s="2" t="s">
        <v>558</v>
      </c>
      <c r="B102" s="2"/>
      <c r="C102" s="2"/>
      <c r="D102" s="2" t="s">
        <v>506</v>
      </c>
      <c r="E102" s="2" t="s">
        <v>559</v>
      </c>
      <c r="F102" s="2" t="s">
        <v>560</v>
      </c>
      <c r="G102" s="2" t="s">
        <v>561</v>
      </c>
      <c r="H102" s="2" t="s">
        <v>562</v>
      </c>
      <c r="I102" s="2" t="s">
        <v>563</v>
      </c>
      <c r="J102" s="2" t="s">
        <v>197</v>
      </c>
      <c r="K102" s="2" t="s">
        <v>241</v>
      </c>
      <c r="L102" s="2"/>
      <c r="M102" s="2"/>
      <c r="N102" s="2"/>
      <c r="O102" s="2"/>
      <c r="P102" s="2"/>
      <c r="Q102" s="2"/>
    </row>
    <row r="103" spans="1:17" ht="28.8" x14ac:dyDescent="0.3">
      <c r="A103" s="2" t="s">
        <v>564</v>
      </c>
      <c r="B103" s="2"/>
      <c r="C103" s="2"/>
      <c r="D103" s="2" t="s">
        <v>506</v>
      </c>
      <c r="E103" s="2" t="s">
        <v>559</v>
      </c>
      <c r="F103" s="2" t="s">
        <v>565</v>
      </c>
      <c r="G103" s="2" t="s">
        <v>566</v>
      </c>
      <c r="H103" s="2" t="s">
        <v>567</v>
      </c>
      <c r="I103" s="2" t="s">
        <v>568</v>
      </c>
      <c r="J103" s="2" t="s">
        <v>76</v>
      </c>
      <c r="K103" s="2" t="s">
        <v>184</v>
      </c>
      <c r="L103" s="2"/>
      <c r="M103" s="2"/>
      <c r="N103" s="2"/>
      <c r="O103" s="2"/>
      <c r="P103" s="2"/>
      <c r="Q103" s="2"/>
    </row>
    <row r="104" spans="1:17" ht="28.8" x14ac:dyDescent="0.3">
      <c r="A104" s="2" t="s">
        <v>569</v>
      </c>
      <c r="B104" s="2"/>
      <c r="C104" s="2"/>
      <c r="D104" s="2" t="s">
        <v>506</v>
      </c>
      <c r="E104" s="2" t="s">
        <v>559</v>
      </c>
      <c r="F104" s="2" t="s">
        <v>570</v>
      </c>
      <c r="G104" s="2" t="s">
        <v>571</v>
      </c>
      <c r="H104" s="2" t="s">
        <v>572</v>
      </c>
      <c r="I104" s="2" t="s">
        <v>573</v>
      </c>
      <c r="J104" s="2" t="s">
        <v>197</v>
      </c>
      <c r="K104" s="2" t="s">
        <v>209</v>
      </c>
      <c r="L104" s="2"/>
      <c r="M104" s="2"/>
      <c r="N104" s="2"/>
      <c r="O104" s="2"/>
      <c r="P104" s="2"/>
      <c r="Q104" s="2"/>
    </row>
    <row r="105" spans="1:17" ht="28.8" x14ac:dyDescent="0.3">
      <c r="A105" s="2" t="s">
        <v>574</v>
      </c>
      <c r="B105" s="2"/>
      <c r="C105" s="2"/>
      <c r="D105" s="2" t="s">
        <v>506</v>
      </c>
      <c r="E105" s="2" t="s">
        <v>559</v>
      </c>
      <c r="F105" s="2" t="s">
        <v>575</v>
      </c>
      <c r="G105" s="2" t="s">
        <v>576</v>
      </c>
      <c r="H105" s="2" t="s">
        <v>577</v>
      </c>
      <c r="I105" s="2" t="s">
        <v>578</v>
      </c>
      <c r="J105" s="2" t="s">
        <v>197</v>
      </c>
      <c r="K105" s="2" t="s">
        <v>498</v>
      </c>
      <c r="L105" s="2"/>
      <c r="M105" s="2"/>
      <c r="N105" s="2"/>
      <c r="O105" s="2"/>
      <c r="P105" s="2"/>
      <c r="Q105" s="2"/>
    </row>
    <row r="106" spans="1:17" ht="28.8" x14ac:dyDescent="0.3">
      <c r="A106" s="2" t="s">
        <v>579</v>
      </c>
      <c r="B106" s="2"/>
      <c r="C106" s="2"/>
      <c r="D106" s="2" t="s">
        <v>506</v>
      </c>
      <c r="E106" s="2" t="s">
        <v>559</v>
      </c>
      <c r="F106" s="2" t="s">
        <v>580</v>
      </c>
      <c r="G106" s="2" t="s">
        <v>581</v>
      </c>
      <c r="H106" s="2" t="s">
        <v>582</v>
      </c>
      <c r="I106" s="2" t="s">
        <v>583</v>
      </c>
      <c r="J106" s="2" t="s">
        <v>197</v>
      </c>
      <c r="K106" s="2" t="s">
        <v>209</v>
      </c>
      <c r="L106" s="2"/>
      <c r="M106" s="2"/>
      <c r="N106" s="2"/>
      <c r="O106" s="2"/>
      <c r="P106" s="2"/>
      <c r="Q106" s="2"/>
    </row>
    <row r="107" spans="1:17" ht="28.8" x14ac:dyDescent="0.3">
      <c r="A107" s="2" t="s">
        <v>584</v>
      </c>
      <c r="B107" s="2"/>
      <c r="C107" s="2"/>
      <c r="D107" s="2" t="s">
        <v>506</v>
      </c>
      <c r="E107" s="2" t="s">
        <v>585</v>
      </c>
      <c r="F107" s="2" t="s">
        <v>586</v>
      </c>
      <c r="G107" s="2" t="s">
        <v>587</v>
      </c>
      <c r="H107" s="2" t="s">
        <v>588</v>
      </c>
      <c r="I107" s="2" t="s">
        <v>589</v>
      </c>
      <c r="J107" s="2" t="s">
        <v>197</v>
      </c>
      <c r="K107" s="2" t="s">
        <v>241</v>
      </c>
      <c r="L107" s="2"/>
      <c r="M107" s="2"/>
      <c r="N107" s="2"/>
      <c r="O107" s="2"/>
      <c r="P107" s="2"/>
      <c r="Q107" s="2"/>
    </row>
    <row r="108" spans="1:17" ht="28.8" x14ac:dyDescent="0.3">
      <c r="A108" s="2" t="s">
        <v>590</v>
      </c>
      <c r="B108" s="2"/>
      <c r="C108" s="2"/>
      <c r="D108" s="2" t="s">
        <v>506</v>
      </c>
      <c r="E108" s="2" t="s">
        <v>585</v>
      </c>
      <c r="F108" s="2" t="s">
        <v>591</v>
      </c>
      <c r="G108" s="2" t="s">
        <v>592</v>
      </c>
      <c r="H108" s="2" t="s">
        <v>593</v>
      </c>
      <c r="I108" s="2" t="s">
        <v>594</v>
      </c>
      <c r="J108" s="2" t="s">
        <v>76</v>
      </c>
      <c r="K108" s="2" t="s">
        <v>198</v>
      </c>
      <c r="L108" s="2"/>
      <c r="M108" s="2"/>
      <c r="N108" s="2"/>
      <c r="O108" s="2"/>
      <c r="P108" s="2"/>
      <c r="Q108" s="2"/>
    </row>
    <row r="109" spans="1:17" ht="28.8" x14ac:dyDescent="0.3">
      <c r="A109" s="2" t="s">
        <v>595</v>
      </c>
      <c r="B109" s="2"/>
      <c r="C109" s="2"/>
      <c r="D109" s="2" t="s">
        <v>506</v>
      </c>
      <c r="E109" s="2" t="s">
        <v>585</v>
      </c>
      <c r="F109" s="2" t="s">
        <v>596</v>
      </c>
      <c r="G109" s="2" t="s">
        <v>597</v>
      </c>
      <c r="H109" s="2" t="s">
        <v>598</v>
      </c>
      <c r="I109" s="2" t="s">
        <v>578</v>
      </c>
      <c r="J109" s="2" t="s">
        <v>197</v>
      </c>
      <c r="K109" s="2" t="s">
        <v>209</v>
      </c>
      <c r="L109" s="2"/>
      <c r="M109" s="2"/>
      <c r="N109" s="2"/>
      <c r="O109" s="2"/>
      <c r="P109" s="2"/>
      <c r="Q109" s="2"/>
    </row>
    <row r="110" spans="1:17" ht="28.8" x14ac:dyDescent="0.3">
      <c r="A110" s="2" t="s">
        <v>599</v>
      </c>
      <c r="B110" s="2"/>
      <c r="C110" s="2"/>
      <c r="D110" s="2" t="s">
        <v>506</v>
      </c>
      <c r="E110" s="2" t="s">
        <v>585</v>
      </c>
      <c r="F110" s="2" t="s">
        <v>600</v>
      </c>
      <c r="G110" s="2" t="s">
        <v>601</v>
      </c>
      <c r="H110" s="2" t="s">
        <v>602</v>
      </c>
      <c r="I110" s="2" t="s">
        <v>603</v>
      </c>
      <c r="J110" s="2" t="s">
        <v>76</v>
      </c>
      <c r="K110" s="2" t="s">
        <v>184</v>
      </c>
      <c r="L110" s="2"/>
      <c r="M110" s="2"/>
      <c r="N110" s="2"/>
      <c r="O110" s="2"/>
      <c r="P110" s="2"/>
      <c r="Q110" s="2"/>
    </row>
    <row r="111" spans="1:17" ht="28.8" x14ac:dyDescent="0.3">
      <c r="A111" s="2" t="s">
        <v>604</v>
      </c>
      <c r="B111" s="2"/>
      <c r="C111" s="2"/>
      <c r="D111" s="2" t="s">
        <v>506</v>
      </c>
      <c r="E111" s="2" t="s">
        <v>585</v>
      </c>
      <c r="F111" s="2" t="s">
        <v>605</v>
      </c>
      <c r="G111" s="2" t="s">
        <v>606</v>
      </c>
      <c r="H111" s="2" t="s">
        <v>607</v>
      </c>
      <c r="I111" s="2" t="s">
        <v>608</v>
      </c>
      <c r="J111" s="2" t="s">
        <v>197</v>
      </c>
      <c r="K111" s="2" t="s">
        <v>241</v>
      </c>
      <c r="L111" s="2"/>
      <c r="M111" s="2"/>
      <c r="N111" s="2"/>
      <c r="O111" s="2"/>
      <c r="P111" s="2"/>
      <c r="Q111" s="2"/>
    </row>
    <row r="112" spans="1:17" ht="28.8" x14ac:dyDescent="0.3">
      <c r="A112" s="2" t="s">
        <v>609</v>
      </c>
      <c r="B112" s="2"/>
      <c r="C112" s="2"/>
      <c r="D112" s="7" t="s">
        <v>610</v>
      </c>
      <c r="E112" s="2" t="s">
        <v>611</v>
      </c>
      <c r="F112" s="2" t="s">
        <v>612</v>
      </c>
      <c r="G112" s="2" t="s">
        <v>613</v>
      </c>
      <c r="H112" s="2" t="s">
        <v>614</v>
      </c>
      <c r="I112" s="2" t="s">
        <v>615</v>
      </c>
      <c r="J112" s="2" t="s">
        <v>76</v>
      </c>
      <c r="K112" s="2" t="s">
        <v>104</v>
      </c>
      <c r="L112" s="2"/>
      <c r="M112" s="2"/>
      <c r="N112" s="2"/>
      <c r="O112" s="2"/>
      <c r="P112" s="2"/>
      <c r="Q112" s="2"/>
    </row>
    <row r="113" spans="1:17" ht="28.8" x14ac:dyDescent="0.3">
      <c r="A113" s="2" t="s">
        <v>616</v>
      </c>
      <c r="B113" s="2"/>
      <c r="C113" s="2"/>
      <c r="D113" s="7" t="s">
        <v>610</v>
      </c>
      <c r="E113" s="2" t="s">
        <v>611</v>
      </c>
      <c r="F113" s="2" t="s">
        <v>617</v>
      </c>
      <c r="G113" s="2" t="s">
        <v>618</v>
      </c>
      <c r="H113" s="2" t="s">
        <v>619</v>
      </c>
      <c r="I113" s="2" t="s">
        <v>620</v>
      </c>
      <c r="J113" s="2" t="s">
        <v>76</v>
      </c>
      <c r="K113" s="2" t="s">
        <v>137</v>
      </c>
      <c r="L113" s="2"/>
      <c r="M113" s="2"/>
      <c r="N113" s="2"/>
      <c r="O113" s="2"/>
      <c r="P113" s="2"/>
      <c r="Q113" s="2"/>
    </row>
    <row r="114" spans="1:17" ht="28.8" x14ac:dyDescent="0.3">
      <c r="A114" s="2" t="s">
        <v>621</v>
      </c>
      <c r="B114" s="2"/>
      <c r="C114" s="2"/>
      <c r="D114" s="7" t="s">
        <v>610</v>
      </c>
      <c r="E114" s="2" t="s">
        <v>611</v>
      </c>
      <c r="F114" s="2" t="s">
        <v>622</v>
      </c>
      <c r="G114" s="2" t="s">
        <v>623</v>
      </c>
      <c r="H114" s="2" t="s">
        <v>624</v>
      </c>
      <c r="I114" s="2" t="s">
        <v>625</v>
      </c>
      <c r="J114" s="2" t="s">
        <v>197</v>
      </c>
      <c r="K114" s="2" t="s">
        <v>241</v>
      </c>
      <c r="L114" s="2"/>
      <c r="M114" s="2"/>
      <c r="N114" s="2"/>
      <c r="O114" s="2"/>
      <c r="P114" s="2"/>
      <c r="Q114" s="2"/>
    </row>
    <row r="115" spans="1:17" ht="28.8" x14ac:dyDescent="0.3">
      <c r="A115" s="2" t="s">
        <v>626</v>
      </c>
      <c r="B115" s="2"/>
      <c r="C115" s="2"/>
      <c r="D115" s="7" t="s">
        <v>610</v>
      </c>
      <c r="E115" s="2" t="s">
        <v>611</v>
      </c>
      <c r="F115" s="2" t="s">
        <v>627</v>
      </c>
      <c r="G115" s="2" t="s">
        <v>628</v>
      </c>
      <c r="H115" s="2" t="s">
        <v>629</v>
      </c>
      <c r="I115" s="2" t="s">
        <v>630</v>
      </c>
      <c r="J115" s="2" t="s">
        <v>76</v>
      </c>
      <c r="K115" s="2" t="s">
        <v>184</v>
      </c>
      <c r="L115" s="2"/>
      <c r="M115" s="2"/>
      <c r="N115" s="2"/>
      <c r="O115" s="2"/>
      <c r="P115" s="2"/>
      <c r="Q115" s="2"/>
    </row>
    <row r="116" spans="1:17" ht="28.8" x14ac:dyDescent="0.3">
      <c r="A116" s="2" t="s">
        <v>631</v>
      </c>
      <c r="B116" s="2"/>
      <c r="C116" s="2"/>
      <c r="D116" s="7" t="s">
        <v>610</v>
      </c>
      <c r="E116" s="2" t="s">
        <v>611</v>
      </c>
      <c r="F116" s="2" t="s">
        <v>632</v>
      </c>
      <c r="G116" s="2" t="s">
        <v>633</v>
      </c>
      <c r="H116" s="2" t="s">
        <v>634</v>
      </c>
      <c r="I116" s="2" t="s">
        <v>635</v>
      </c>
      <c r="J116" s="2" t="s">
        <v>76</v>
      </c>
      <c r="K116" s="2" t="s">
        <v>137</v>
      </c>
      <c r="L116" s="2"/>
      <c r="M116" s="2"/>
      <c r="N116" s="2"/>
      <c r="O116" s="2"/>
      <c r="P116" s="2"/>
      <c r="Q116" s="2"/>
    </row>
    <row r="117" spans="1:17" ht="28.8" x14ac:dyDescent="0.3">
      <c r="A117" s="2" t="s">
        <v>636</v>
      </c>
      <c r="B117" s="2"/>
      <c r="C117" s="2"/>
      <c r="D117" s="7" t="s">
        <v>610</v>
      </c>
      <c r="E117" s="2" t="s">
        <v>637</v>
      </c>
      <c r="F117" s="2" t="s">
        <v>638</v>
      </c>
      <c r="G117" s="2" t="s">
        <v>639</v>
      </c>
      <c r="H117" s="2" t="s">
        <v>640</v>
      </c>
      <c r="I117" s="2" t="s">
        <v>641</v>
      </c>
      <c r="J117" s="2" t="s">
        <v>197</v>
      </c>
      <c r="K117" s="2" t="s">
        <v>209</v>
      </c>
      <c r="L117" s="2"/>
      <c r="M117" s="2"/>
      <c r="N117" s="2"/>
      <c r="O117" s="2"/>
      <c r="P117" s="2"/>
      <c r="Q117" s="2"/>
    </row>
    <row r="118" spans="1:17" ht="28.8" x14ac:dyDescent="0.3">
      <c r="A118" s="2" t="s">
        <v>642</v>
      </c>
      <c r="B118" s="2"/>
      <c r="C118" s="2"/>
      <c r="D118" s="7" t="s">
        <v>610</v>
      </c>
      <c r="E118" s="2" t="s">
        <v>637</v>
      </c>
      <c r="F118" s="2" t="s">
        <v>643</v>
      </c>
      <c r="G118" s="2" t="s">
        <v>644</v>
      </c>
      <c r="H118" s="2" t="s">
        <v>645</v>
      </c>
      <c r="I118" s="2" t="s">
        <v>646</v>
      </c>
      <c r="J118" s="2" t="s">
        <v>76</v>
      </c>
      <c r="K118" s="2" t="s">
        <v>184</v>
      </c>
      <c r="L118" s="2"/>
      <c r="M118" s="2"/>
      <c r="N118" s="2"/>
      <c r="O118" s="2"/>
      <c r="P118" s="2"/>
      <c r="Q118" s="2"/>
    </row>
    <row r="119" spans="1:17" ht="28.8" x14ac:dyDescent="0.3">
      <c r="A119" s="2" t="s">
        <v>647</v>
      </c>
      <c r="B119" s="2"/>
      <c r="C119" s="2"/>
      <c r="D119" s="7" t="s">
        <v>610</v>
      </c>
      <c r="E119" s="2" t="s">
        <v>637</v>
      </c>
      <c r="F119" s="2" t="s">
        <v>648</v>
      </c>
      <c r="G119" s="2" t="s">
        <v>649</v>
      </c>
      <c r="H119" s="2" t="s">
        <v>650</v>
      </c>
      <c r="I119" s="2" t="s">
        <v>651</v>
      </c>
      <c r="J119" s="2" t="s">
        <v>197</v>
      </c>
      <c r="K119" s="2" t="s">
        <v>504</v>
      </c>
      <c r="L119" s="2"/>
      <c r="M119" s="2"/>
      <c r="N119" s="2"/>
      <c r="O119" s="2"/>
      <c r="P119" s="2"/>
      <c r="Q119" s="2"/>
    </row>
    <row r="120" spans="1:17" ht="28.8" x14ac:dyDescent="0.3">
      <c r="A120" s="2" t="s">
        <v>652</v>
      </c>
      <c r="B120" s="2"/>
      <c r="C120" s="2"/>
      <c r="D120" s="7" t="s">
        <v>610</v>
      </c>
      <c r="E120" s="2" t="s">
        <v>637</v>
      </c>
      <c r="F120" s="2" t="s">
        <v>653</v>
      </c>
      <c r="G120" s="2" t="s">
        <v>654</v>
      </c>
      <c r="H120" s="2" t="s">
        <v>655</v>
      </c>
      <c r="I120" s="2" t="s">
        <v>656</v>
      </c>
      <c r="J120" s="2" t="s">
        <v>37</v>
      </c>
      <c r="K120" s="2" t="s">
        <v>77</v>
      </c>
      <c r="L120" s="2"/>
      <c r="M120" s="2"/>
      <c r="N120" s="2"/>
      <c r="O120" s="2"/>
      <c r="P120" s="2"/>
      <c r="Q120" s="2"/>
    </row>
    <row r="121" spans="1:17" ht="28.8" x14ac:dyDescent="0.3">
      <c r="A121" s="2" t="s">
        <v>657</v>
      </c>
      <c r="B121" s="2"/>
      <c r="C121" s="2"/>
      <c r="D121" s="7" t="s">
        <v>610</v>
      </c>
      <c r="E121" s="2" t="s">
        <v>637</v>
      </c>
      <c r="F121" s="2" t="s">
        <v>658</v>
      </c>
      <c r="G121" s="2" t="s">
        <v>659</v>
      </c>
      <c r="H121" s="2" t="s">
        <v>660</v>
      </c>
      <c r="I121" s="2" t="s">
        <v>661</v>
      </c>
      <c r="J121" s="2" t="s">
        <v>76</v>
      </c>
      <c r="K121" s="2" t="s">
        <v>198</v>
      </c>
      <c r="L121" s="2"/>
      <c r="M121" s="2"/>
      <c r="N121" s="2"/>
      <c r="O121" s="2"/>
      <c r="P121" s="2"/>
      <c r="Q121" s="2"/>
    </row>
    <row r="122" spans="1:17" ht="28.8" x14ac:dyDescent="0.3">
      <c r="A122" s="2" t="s">
        <v>662</v>
      </c>
      <c r="B122" s="2"/>
      <c r="C122" s="2"/>
      <c r="D122" s="7" t="s">
        <v>610</v>
      </c>
      <c r="E122" s="2" t="s">
        <v>663</v>
      </c>
      <c r="F122" s="2" t="s">
        <v>664</v>
      </c>
      <c r="G122" s="2" t="s">
        <v>665</v>
      </c>
      <c r="H122" s="2" t="s">
        <v>666</v>
      </c>
      <c r="I122" s="2" t="s">
        <v>667</v>
      </c>
      <c r="J122" s="2" t="s">
        <v>76</v>
      </c>
      <c r="K122" s="2" t="s">
        <v>184</v>
      </c>
      <c r="L122" s="2"/>
      <c r="M122" s="2"/>
      <c r="N122" s="2"/>
      <c r="O122" s="2"/>
      <c r="P122" s="2"/>
      <c r="Q122" s="2"/>
    </row>
    <row r="123" spans="1:17" ht="28.8" x14ac:dyDescent="0.3">
      <c r="A123" s="2" t="s">
        <v>668</v>
      </c>
      <c r="B123" s="2"/>
      <c r="C123" s="2"/>
      <c r="D123" s="7" t="s">
        <v>610</v>
      </c>
      <c r="E123" s="2" t="s">
        <v>663</v>
      </c>
      <c r="F123" s="2" t="s">
        <v>669</v>
      </c>
      <c r="G123" s="2" t="s">
        <v>670</v>
      </c>
      <c r="H123" s="2" t="s">
        <v>671</v>
      </c>
      <c r="I123" s="2" t="s">
        <v>672</v>
      </c>
      <c r="J123" s="2" t="s">
        <v>76</v>
      </c>
      <c r="K123" s="2" t="s">
        <v>137</v>
      </c>
      <c r="L123" s="2"/>
      <c r="M123" s="2"/>
      <c r="N123" s="2"/>
      <c r="O123" s="2"/>
      <c r="P123" s="2"/>
      <c r="Q123" s="2"/>
    </row>
    <row r="124" spans="1:17" ht="28.8" x14ac:dyDescent="0.3">
      <c r="A124" s="2" t="s">
        <v>673</v>
      </c>
      <c r="B124" s="2"/>
      <c r="C124" s="2"/>
      <c r="D124" s="7" t="s">
        <v>610</v>
      </c>
      <c r="E124" s="2" t="s">
        <v>663</v>
      </c>
      <c r="F124" s="2" t="s">
        <v>674</v>
      </c>
      <c r="G124" s="2" t="s">
        <v>675</v>
      </c>
      <c r="H124" s="2" t="s">
        <v>676</v>
      </c>
      <c r="I124" s="2" t="s">
        <v>677</v>
      </c>
      <c r="J124" s="2" t="s">
        <v>76</v>
      </c>
      <c r="K124" s="2" t="s">
        <v>104</v>
      </c>
      <c r="L124" s="2"/>
      <c r="M124" s="2"/>
      <c r="N124" s="2"/>
      <c r="O124" s="2"/>
      <c r="P124" s="2"/>
      <c r="Q124" s="2"/>
    </row>
    <row r="125" spans="1:17" ht="28.8" x14ac:dyDescent="0.3">
      <c r="A125" s="2" t="s">
        <v>678</v>
      </c>
      <c r="B125" s="2"/>
      <c r="C125" s="2"/>
      <c r="D125" s="7" t="s">
        <v>610</v>
      </c>
      <c r="E125" s="2" t="s">
        <v>663</v>
      </c>
      <c r="F125" s="2" t="s">
        <v>679</v>
      </c>
      <c r="G125" s="2" t="s">
        <v>680</v>
      </c>
      <c r="H125" s="2" t="s">
        <v>681</v>
      </c>
      <c r="I125" s="2" t="s">
        <v>682</v>
      </c>
      <c r="J125" s="2" t="s">
        <v>37</v>
      </c>
      <c r="K125" s="2" t="s">
        <v>55</v>
      </c>
      <c r="L125" s="2"/>
      <c r="M125" s="2"/>
      <c r="N125" s="2"/>
      <c r="O125" s="2"/>
      <c r="P125" s="2"/>
      <c r="Q125" s="2"/>
    </row>
    <row r="126" spans="1:17" ht="28.8" x14ac:dyDescent="0.3">
      <c r="A126" s="2" t="s">
        <v>683</v>
      </c>
      <c r="B126" s="2"/>
      <c r="C126" s="2"/>
      <c r="D126" s="7" t="s">
        <v>610</v>
      </c>
      <c r="E126" s="2" t="s">
        <v>663</v>
      </c>
      <c r="F126" s="2" t="s">
        <v>684</v>
      </c>
      <c r="G126" s="2" t="s">
        <v>685</v>
      </c>
      <c r="H126" s="2" t="s">
        <v>686</v>
      </c>
      <c r="I126" s="2" t="s">
        <v>687</v>
      </c>
      <c r="J126" s="2" t="s">
        <v>76</v>
      </c>
      <c r="K126" s="2" t="s">
        <v>137</v>
      </c>
      <c r="L126" s="2"/>
      <c r="M126" s="2"/>
      <c r="N126" s="2"/>
      <c r="O126" s="2"/>
      <c r="P126" s="2"/>
      <c r="Q126" s="2"/>
    </row>
    <row r="127" spans="1:17" ht="28.8" x14ac:dyDescent="0.3">
      <c r="A127" s="2" t="s">
        <v>688</v>
      </c>
      <c r="B127" s="2"/>
      <c r="C127" s="2"/>
      <c r="D127" s="7" t="s">
        <v>610</v>
      </c>
      <c r="E127" s="2" t="s">
        <v>689</v>
      </c>
      <c r="F127" s="2" t="s">
        <v>690</v>
      </c>
      <c r="G127" s="2" t="s">
        <v>691</v>
      </c>
      <c r="H127" s="2" t="s">
        <v>692</v>
      </c>
      <c r="I127" s="2" t="s">
        <v>693</v>
      </c>
      <c r="J127" s="2" t="s">
        <v>76</v>
      </c>
      <c r="K127" s="2" t="s">
        <v>184</v>
      </c>
      <c r="L127" s="2"/>
      <c r="M127" s="2"/>
      <c r="N127" s="2"/>
      <c r="O127" s="2"/>
      <c r="P127" s="2"/>
      <c r="Q127" s="2"/>
    </row>
    <row r="128" spans="1:17" ht="28.8" x14ac:dyDescent="0.3">
      <c r="A128" s="2" t="s">
        <v>694</v>
      </c>
      <c r="B128" s="2"/>
      <c r="C128" s="2"/>
      <c r="D128" s="7" t="s">
        <v>610</v>
      </c>
      <c r="E128" s="2" t="s">
        <v>689</v>
      </c>
      <c r="F128" s="2" t="s">
        <v>695</v>
      </c>
      <c r="G128" s="2" t="s">
        <v>696</v>
      </c>
      <c r="H128" s="2" t="s">
        <v>697</v>
      </c>
      <c r="I128" s="2" t="s">
        <v>698</v>
      </c>
      <c r="J128" s="2" t="s">
        <v>76</v>
      </c>
      <c r="K128" s="2" t="s">
        <v>137</v>
      </c>
      <c r="L128" s="2"/>
      <c r="M128" s="2"/>
      <c r="N128" s="2"/>
      <c r="O128" s="2"/>
      <c r="P128" s="2"/>
      <c r="Q128" s="2"/>
    </row>
    <row r="129" spans="1:17" ht="28.8" x14ac:dyDescent="0.3">
      <c r="A129" s="2" t="s">
        <v>699</v>
      </c>
      <c r="B129" s="2"/>
      <c r="C129" s="2"/>
      <c r="D129" s="7" t="s">
        <v>610</v>
      </c>
      <c r="E129" s="2" t="s">
        <v>689</v>
      </c>
      <c r="F129" s="2" t="s">
        <v>700</v>
      </c>
      <c r="G129" s="2" t="s">
        <v>701</v>
      </c>
      <c r="H129" s="2" t="s">
        <v>702</v>
      </c>
      <c r="I129" s="2" t="s">
        <v>703</v>
      </c>
      <c r="J129" s="2" t="s">
        <v>37</v>
      </c>
      <c r="K129" s="2" t="s">
        <v>77</v>
      </c>
      <c r="L129" s="2"/>
      <c r="M129" s="2"/>
      <c r="N129" s="2"/>
      <c r="O129" s="2"/>
      <c r="P129" s="2"/>
      <c r="Q129" s="2"/>
    </row>
    <row r="130" spans="1:17" ht="28.8" x14ac:dyDescent="0.3">
      <c r="A130" s="2" t="s">
        <v>704</v>
      </c>
      <c r="B130" s="2"/>
      <c r="C130" s="2"/>
      <c r="D130" s="7" t="s">
        <v>610</v>
      </c>
      <c r="E130" s="2" t="s">
        <v>689</v>
      </c>
      <c r="F130" s="2" t="s">
        <v>705</v>
      </c>
      <c r="G130" s="2" t="s">
        <v>706</v>
      </c>
      <c r="H130" s="2" t="s">
        <v>707</v>
      </c>
      <c r="I130" s="2" t="s">
        <v>708</v>
      </c>
      <c r="J130" s="2" t="s">
        <v>76</v>
      </c>
      <c r="K130" s="2" t="s">
        <v>104</v>
      </c>
      <c r="L130" s="2"/>
      <c r="M130" s="2"/>
      <c r="N130" s="2"/>
      <c r="O130" s="2"/>
      <c r="P130" s="2"/>
      <c r="Q130" s="2"/>
    </row>
    <row r="131" spans="1:17" ht="28.8" x14ac:dyDescent="0.3">
      <c r="A131" s="2" t="s">
        <v>709</v>
      </c>
      <c r="B131" s="2"/>
      <c r="C131" s="2"/>
      <c r="D131" s="7" t="s">
        <v>610</v>
      </c>
      <c r="E131" s="2" t="s">
        <v>689</v>
      </c>
      <c r="F131" s="2" t="s">
        <v>710</v>
      </c>
      <c r="G131" s="2" t="s">
        <v>711</v>
      </c>
      <c r="H131" s="2" t="s">
        <v>712</v>
      </c>
      <c r="I131" s="2" t="s">
        <v>713</v>
      </c>
      <c r="J131" s="2" t="s">
        <v>76</v>
      </c>
      <c r="K131" s="2" t="s">
        <v>137</v>
      </c>
      <c r="L131" s="2"/>
      <c r="M131" s="2"/>
      <c r="N131" s="2"/>
      <c r="O131" s="2"/>
      <c r="P131" s="2"/>
      <c r="Q131" s="2"/>
    </row>
    <row r="132" spans="1:17" ht="28.8" x14ac:dyDescent="0.3">
      <c r="A132" s="2" t="s">
        <v>714</v>
      </c>
      <c r="B132" s="2"/>
      <c r="C132" s="2"/>
      <c r="D132" s="8" t="s">
        <v>715</v>
      </c>
      <c r="E132" s="2" t="s">
        <v>716</v>
      </c>
      <c r="F132" s="2" t="s">
        <v>717</v>
      </c>
      <c r="G132" s="2" t="s">
        <v>718</v>
      </c>
      <c r="H132" s="2" t="s">
        <v>719</v>
      </c>
      <c r="I132" s="2" t="s">
        <v>720</v>
      </c>
      <c r="J132" s="2" t="s">
        <v>197</v>
      </c>
      <c r="K132" s="2" t="s">
        <v>241</v>
      </c>
      <c r="L132" s="2"/>
      <c r="M132" s="2"/>
      <c r="N132" s="2"/>
      <c r="O132" s="2"/>
      <c r="P132" s="2"/>
      <c r="Q132" s="2"/>
    </row>
    <row r="133" spans="1:17" ht="28.8" x14ac:dyDescent="0.3">
      <c r="A133" s="2" t="s">
        <v>721</v>
      </c>
      <c r="B133" s="2"/>
      <c r="C133" s="2"/>
      <c r="D133" s="8" t="s">
        <v>715</v>
      </c>
      <c r="E133" s="2" t="s">
        <v>716</v>
      </c>
      <c r="F133" s="2" t="s">
        <v>722</v>
      </c>
      <c r="G133" s="2" t="s">
        <v>723</v>
      </c>
      <c r="H133" s="2" t="s">
        <v>724</v>
      </c>
      <c r="I133" s="2" t="s">
        <v>725</v>
      </c>
      <c r="J133" s="2" t="s">
        <v>197</v>
      </c>
      <c r="K133" s="2" t="s">
        <v>209</v>
      </c>
      <c r="L133" s="2"/>
      <c r="M133" s="2"/>
      <c r="N133" s="2"/>
      <c r="O133" s="2"/>
      <c r="P133" s="2"/>
      <c r="Q133" s="2"/>
    </row>
    <row r="134" spans="1:17" ht="28.8" x14ac:dyDescent="0.3">
      <c r="A134" s="2" t="s">
        <v>726</v>
      </c>
      <c r="B134" s="2"/>
      <c r="C134" s="2"/>
      <c r="D134" s="8" t="s">
        <v>715</v>
      </c>
      <c r="E134" s="2" t="s">
        <v>716</v>
      </c>
      <c r="F134" s="2" t="s">
        <v>727</v>
      </c>
      <c r="G134" s="2" t="s">
        <v>728</v>
      </c>
      <c r="H134" s="2" t="s">
        <v>729</v>
      </c>
      <c r="I134" s="2" t="s">
        <v>730</v>
      </c>
      <c r="J134" s="2" t="s">
        <v>197</v>
      </c>
      <c r="K134" s="2" t="s">
        <v>498</v>
      </c>
      <c r="L134" s="2"/>
      <c r="M134" s="2"/>
      <c r="N134" s="2"/>
      <c r="O134" s="2"/>
      <c r="P134" s="2"/>
      <c r="Q134" s="2"/>
    </row>
    <row r="135" spans="1:17" ht="28.8" x14ac:dyDescent="0.3">
      <c r="A135" s="2" t="s">
        <v>731</v>
      </c>
      <c r="B135" s="2"/>
      <c r="C135" s="2"/>
      <c r="D135" s="8" t="s">
        <v>715</v>
      </c>
      <c r="E135" s="2" t="s">
        <v>716</v>
      </c>
      <c r="F135" s="2" t="s">
        <v>732</v>
      </c>
      <c r="G135" s="2" t="s">
        <v>733</v>
      </c>
      <c r="H135" s="2" t="s">
        <v>734</v>
      </c>
      <c r="I135" s="2" t="s">
        <v>735</v>
      </c>
      <c r="J135" s="2" t="s">
        <v>197</v>
      </c>
      <c r="K135" s="2" t="s">
        <v>504</v>
      </c>
      <c r="L135" s="2"/>
      <c r="M135" s="2"/>
      <c r="N135" s="2"/>
      <c r="O135" s="2"/>
      <c r="P135" s="2"/>
      <c r="Q135" s="2"/>
    </row>
    <row r="136" spans="1:17" ht="28.8" x14ac:dyDescent="0.3">
      <c r="A136" s="2" t="s">
        <v>736</v>
      </c>
      <c r="B136" s="2"/>
      <c r="C136" s="2"/>
      <c r="D136" s="8" t="s">
        <v>715</v>
      </c>
      <c r="E136" s="2" t="s">
        <v>716</v>
      </c>
      <c r="F136" s="2" t="s">
        <v>133</v>
      </c>
      <c r="G136" s="2" t="s">
        <v>737</v>
      </c>
      <c r="H136" s="2" t="s">
        <v>738</v>
      </c>
      <c r="I136" s="2" t="s">
        <v>739</v>
      </c>
      <c r="J136" s="2" t="s">
        <v>197</v>
      </c>
      <c r="K136" s="2" t="s">
        <v>498</v>
      </c>
      <c r="L136" s="2"/>
      <c r="M136" s="2"/>
      <c r="N136" s="2"/>
      <c r="O136" s="2"/>
      <c r="P136" s="2"/>
      <c r="Q136" s="2"/>
    </row>
    <row r="137" spans="1:17" ht="28.8" x14ac:dyDescent="0.3">
      <c r="A137" s="2" t="s">
        <v>740</v>
      </c>
      <c r="B137" s="2"/>
      <c r="C137" s="2"/>
      <c r="D137" s="8" t="s">
        <v>715</v>
      </c>
      <c r="E137" s="2" t="s">
        <v>741</v>
      </c>
      <c r="F137" s="2" t="s">
        <v>144</v>
      </c>
      <c r="G137" s="2" t="s">
        <v>742</v>
      </c>
      <c r="H137" s="2" t="s">
        <v>743</v>
      </c>
      <c r="I137" s="2" t="s">
        <v>744</v>
      </c>
      <c r="J137" s="2" t="s">
        <v>197</v>
      </c>
      <c r="K137" s="2" t="s">
        <v>209</v>
      </c>
      <c r="L137" s="2"/>
      <c r="M137" s="2"/>
      <c r="N137" s="2"/>
      <c r="O137" s="2"/>
      <c r="P137" s="2"/>
      <c r="Q137" s="2"/>
    </row>
    <row r="138" spans="1:17" ht="28.8" x14ac:dyDescent="0.3">
      <c r="A138" s="2" t="s">
        <v>745</v>
      </c>
      <c r="B138" s="2"/>
      <c r="C138" s="2"/>
      <c r="D138" s="8" t="s">
        <v>715</v>
      </c>
      <c r="E138" s="2" t="s">
        <v>741</v>
      </c>
      <c r="F138" s="2" t="s">
        <v>746</v>
      </c>
      <c r="G138" s="2" t="s">
        <v>747</v>
      </c>
      <c r="H138" s="2" t="s">
        <v>748</v>
      </c>
      <c r="I138" s="2" t="s">
        <v>749</v>
      </c>
      <c r="J138" s="2" t="s">
        <v>197</v>
      </c>
      <c r="K138" s="2" t="s">
        <v>241</v>
      </c>
      <c r="L138" s="2"/>
      <c r="M138" s="2"/>
      <c r="N138" s="2"/>
      <c r="O138" s="2"/>
      <c r="P138" s="2"/>
      <c r="Q138" s="2"/>
    </row>
    <row r="139" spans="1:17" ht="28.8" x14ac:dyDescent="0.3">
      <c r="A139" s="2" t="s">
        <v>750</v>
      </c>
      <c r="B139" s="2"/>
      <c r="C139" s="2"/>
      <c r="D139" s="8" t="s">
        <v>715</v>
      </c>
      <c r="E139" s="2" t="s">
        <v>741</v>
      </c>
      <c r="F139" s="2" t="s">
        <v>751</v>
      </c>
      <c r="G139" s="2" t="s">
        <v>752</v>
      </c>
      <c r="H139" s="2" t="s">
        <v>753</v>
      </c>
      <c r="I139" s="2" t="s">
        <v>754</v>
      </c>
      <c r="J139" s="2" t="s">
        <v>76</v>
      </c>
      <c r="K139" s="2" t="s">
        <v>137</v>
      </c>
      <c r="L139" s="2"/>
      <c r="M139" s="2"/>
      <c r="N139" s="2"/>
      <c r="O139" s="2"/>
      <c r="P139" s="2"/>
      <c r="Q139" s="2"/>
    </row>
    <row r="140" spans="1:17" ht="28.8" x14ac:dyDescent="0.3">
      <c r="A140" s="2" t="s">
        <v>755</v>
      </c>
      <c r="B140" s="2"/>
      <c r="C140" s="2"/>
      <c r="D140" s="8" t="s">
        <v>715</v>
      </c>
      <c r="E140" s="2" t="s">
        <v>741</v>
      </c>
      <c r="F140" s="2" t="s">
        <v>756</v>
      </c>
      <c r="G140" s="2" t="s">
        <v>757</v>
      </c>
      <c r="H140" s="2" t="s">
        <v>758</v>
      </c>
      <c r="I140" s="2" t="s">
        <v>759</v>
      </c>
      <c r="J140" s="2" t="s">
        <v>76</v>
      </c>
      <c r="K140" s="2" t="s">
        <v>184</v>
      </c>
      <c r="L140" s="2"/>
      <c r="M140" s="2"/>
      <c r="N140" s="2"/>
      <c r="O140" s="2"/>
      <c r="P140" s="2"/>
      <c r="Q140" s="2"/>
    </row>
    <row r="141" spans="1:17" ht="28.8" x14ac:dyDescent="0.3">
      <c r="A141" s="2" t="s">
        <v>760</v>
      </c>
      <c r="B141" s="2"/>
      <c r="C141" s="2"/>
      <c r="D141" s="8" t="s">
        <v>715</v>
      </c>
      <c r="E141" s="2" t="s">
        <v>741</v>
      </c>
      <c r="F141" s="2" t="s">
        <v>761</v>
      </c>
      <c r="G141" s="2" t="s">
        <v>762</v>
      </c>
      <c r="H141" s="2" t="s">
        <v>763</v>
      </c>
      <c r="I141" s="2" t="s">
        <v>764</v>
      </c>
      <c r="J141" s="2" t="s">
        <v>76</v>
      </c>
      <c r="K141" s="2" t="s">
        <v>198</v>
      </c>
      <c r="L141" s="2"/>
      <c r="M141" s="2"/>
      <c r="N141" s="2"/>
      <c r="O141" s="2"/>
      <c r="P141" s="2"/>
      <c r="Q141" s="2"/>
    </row>
    <row r="142" spans="1:17" ht="28.8" x14ac:dyDescent="0.3">
      <c r="A142" s="2" t="s">
        <v>765</v>
      </c>
      <c r="B142" s="2"/>
      <c r="C142" s="2"/>
      <c r="D142" s="9" t="s">
        <v>766</v>
      </c>
      <c r="E142" s="2" t="s">
        <v>767</v>
      </c>
      <c r="F142" s="2" t="s">
        <v>768</v>
      </c>
      <c r="G142" s="2" t="s">
        <v>769</v>
      </c>
      <c r="H142" s="2" t="s">
        <v>770</v>
      </c>
      <c r="I142" s="2" t="s">
        <v>771</v>
      </c>
      <c r="J142" s="2" t="s">
        <v>197</v>
      </c>
      <c r="K142" s="2" t="s">
        <v>77</v>
      </c>
      <c r="L142" s="2"/>
      <c r="M142" s="2"/>
      <c r="N142" s="2"/>
      <c r="O142" s="2"/>
      <c r="P142" s="2"/>
      <c r="Q142" s="2"/>
    </row>
    <row r="143" spans="1:17" ht="28.8" x14ac:dyDescent="0.3">
      <c r="A143" s="2" t="s">
        <v>772</v>
      </c>
      <c r="B143" s="2"/>
      <c r="C143" s="2"/>
      <c r="D143" s="9" t="s">
        <v>766</v>
      </c>
      <c r="E143" s="2" t="s">
        <v>767</v>
      </c>
      <c r="F143" s="2" t="s">
        <v>773</v>
      </c>
      <c r="G143" s="2" t="s">
        <v>774</v>
      </c>
      <c r="H143" s="2" t="s">
        <v>775</v>
      </c>
      <c r="I143" s="2" t="s">
        <v>776</v>
      </c>
      <c r="J143" s="2" t="s">
        <v>197</v>
      </c>
      <c r="K143" s="2" t="s">
        <v>137</v>
      </c>
      <c r="L143" s="2"/>
      <c r="M143" s="2"/>
      <c r="N143" s="2"/>
      <c r="O143" s="2"/>
      <c r="P143" s="2"/>
      <c r="Q143" s="2"/>
    </row>
    <row r="144" spans="1:17" ht="28.8" x14ac:dyDescent="0.3">
      <c r="A144" s="2" t="s">
        <v>777</v>
      </c>
      <c r="B144" s="2"/>
      <c r="C144" s="2"/>
      <c r="D144" s="9" t="s">
        <v>766</v>
      </c>
      <c r="E144" s="2" t="s">
        <v>767</v>
      </c>
      <c r="F144" s="2" t="s">
        <v>778</v>
      </c>
      <c r="G144" s="2" t="s">
        <v>779</v>
      </c>
      <c r="H144" s="2" t="s">
        <v>780</v>
      </c>
      <c r="I144" s="2" t="s">
        <v>781</v>
      </c>
      <c r="J144" s="2" t="s">
        <v>197</v>
      </c>
      <c r="K144" s="2" t="s">
        <v>198</v>
      </c>
      <c r="L144" s="2"/>
      <c r="M144" s="2"/>
      <c r="N144" s="2"/>
      <c r="O144" s="2"/>
      <c r="P144" s="2"/>
      <c r="Q144" s="2"/>
    </row>
    <row r="145" spans="1:17" ht="28.8" x14ac:dyDescent="0.3">
      <c r="A145" s="2" t="s">
        <v>782</v>
      </c>
      <c r="B145" s="2"/>
      <c r="C145" s="2"/>
      <c r="D145" s="9" t="s">
        <v>766</v>
      </c>
      <c r="E145" s="2" t="s">
        <v>767</v>
      </c>
      <c r="F145" s="2" t="s">
        <v>783</v>
      </c>
      <c r="G145" s="2" t="s">
        <v>784</v>
      </c>
      <c r="H145" s="2" t="s">
        <v>785</v>
      </c>
      <c r="I145" s="2" t="s">
        <v>786</v>
      </c>
      <c r="J145" s="2" t="s">
        <v>197</v>
      </c>
      <c r="K145" s="2" t="s">
        <v>184</v>
      </c>
      <c r="L145" s="2"/>
      <c r="M145" s="2"/>
      <c r="N145" s="2"/>
      <c r="O145" s="2"/>
      <c r="P145" s="2"/>
      <c r="Q145" s="2"/>
    </row>
    <row r="146" spans="1:17" ht="28.8" x14ac:dyDescent="0.3">
      <c r="A146" s="2" t="s">
        <v>787</v>
      </c>
      <c r="B146" s="2"/>
      <c r="C146" s="2"/>
      <c r="D146" s="9" t="s">
        <v>766</v>
      </c>
      <c r="E146" s="2" t="s">
        <v>767</v>
      </c>
      <c r="F146" s="2" t="s">
        <v>788</v>
      </c>
      <c r="G146" s="2" t="s">
        <v>789</v>
      </c>
      <c r="H146" s="2" t="s">
        <v>790</v>
      </c>
      <c r="I146" s="2" t="s">
        <v>791</v>
      </c>
      <c r="J146" s="2" t="s">
        <v>197</v>
      </c>
      <c r="K146" s="2" t="s">
        <v>198</v>
      </c>
      <c r="L146" s="2"/>
      <c r="M146" s="2"/>
      <c r="N146" s="2"/>
      <c r="O146" s="2"/>
      <c r="P146" s="2"/>
      <c r="Q146" s="2"/>
    </row>
    <row r="147" spans="1:17" ht="28.8" x14ac:dyDescent="0.3">
      <c r="A147" s="2" t="s">
        <v>792</v>
      </c>
      <c r="B147" s="2"/>
      <c r="C147" s="2"/>
      <c r="D147" s="9" t="s">
        <v>766</v>
      </c>
      <c r="E147" s="2" t="s">
        <v>767</v>
      </c>
      <c r="F147" s="2" t="s">
        <v>793</v>
      </c>
      <c r="G147" s="2" t="s">
        <v>794</v>
      </c>
      <c r="H147" s="2" t="s">
        <v>795</v>
      </c>
      <c r="I147" s="2" t="s">
        <v>796</v>
      </c>
      <c r="J147" s="2" t="s">
        <v>197</v>
      </c>
      <c r="K147" s="2" t="s">
        <v>137</v>
      </c>
      <c r="L147" s="2"/>
      <c r="M147" s="2"/>
      <c r="N147" s="2"/>
      <c r="O147" s="2"/>
      <c r="P147" s="2"/>
      <c r="Q147" s="2"/>
    </row>
    <row r="148" spans="1:17" ht="28.8" x14ac:dyDescent="0.3">
      <c r="A148" s="2" t="s">
        <v>797</v>
      </c>
      <c r="B148" s="2"/>
      <c r="C148" s="2"/>
      <c r="D148" s="9" t="s">
        <v>766</v>
      </c>
      <c r="E148" s="2" t="s">
        <v>767</v>
      </c>
      <c r="F148" s="2" t="s">
        <v>798</v>
      </c>
      <c r="G148" s="2" t="s">
        <v>799</v>
      </c>
      <c r="H148" s="2" t="s">
        <v>800</v>
      </c>
      <c r="I148" s="2" t="s">
        <v>801</v>
      </c>
      <c r="J148" s="2" t="s">
        <v>197</v>
      </c>
      <c r="K148" s="2" t="s">
        <v>104</v>
      </c>
      <c r="L148" s="2"/>
      <c r="M148" s="2"/>
      <c r="N148" s="2"/>
      <c r="O148" s="2"/>
      <c r="P148" s="2"/>
      <c r="Q148" s="2"/>
    </row>
    <row r="149" spans="1:17" ht="28.8" x14ac:dyDescent="0.3">
      <c r="A149" s="2" t="s">
        <v>802</v>
      </c>
      <c r="B149" s="2"/>
      <c r="C149" s="2"/>
      <c r="D149" s="9" t="s">
        <v>766</v>
      </c>
      <c r="E149" s="2" t="s">
        <v>767</v>
      </c>
      <c r="F149" s="2" t="s">
        <v>803</v>
      </c>
      <c r="G149" s="2" t="s">
        <v>804</v>
      </c>
      <c r="H149" s="2" t="s">
        <v>805</v>
      </c>
      <c r="I149" s="2" t="s">
        <v>806</v>
      </c>
      <c r="J149" s="2" t="s">
        <v>197</v>
      </c>
      <c r="K149" s="2" t="s">
        <v>184</v>
      </c>
      <c r="L149" s="2"/>
      <c r="M149" s="2"/>
      <c r="N149" s="2"/>
      <c r="O149" s="2"/>
      <c r="P149" s="2"/>
      <c r="Q149" s="2"/>
    </row>
    <row r="150" spans="1:17" ht="28.8" x14ac:dyDescent="0.3">
      <c r="A150" s="2" t="s">
        <v>807</v>
      </c>
      <c r="B150" s="2"/>
      <c r="C150" s="2"/>
      <c r="D150" s="9" t="s">
        <v>766</v>
      </c>
      <c r="E150" s="2" t="s">
        <v>767</v>
      </c>
      <c r="F150" s="2" t="s">
        <v>808</v>
      </c>
      <c r="G150" s="2" t="s">
        <v>809</v>
      </c>
      <c r="H150" s="2" t="s">
        <v>810</v>
      </c>
      <c r="I150" s="2" t="s">
        <v>811</v>
      </c>
      <c r="J150" s="2" t="s">
        <v>197</v>
      </c>
      <c r="K150" s="2" t="s">
        <v>137</v>
      </c>
      <c r="L150" s="2"/>
      <c r="M150" s="2"/>
      <c r="N150" s="2"/>
      <c r="O150" s="2"/>
      <c r="P150" s="2"/>
      <c r="Q150" s="2"/>
    </row>
    <row r="151" spans="1:17" ht="28.8" x14ac:dyDescent="0.3">
      <c r="A151" s="2" t="s">
        <v>812</v>
      </c>
      <c r="B151" s="2"/>
      <c r="C151" s="2"/>
      <c r="D151" s="9" t="s">
        <v>766</v>
      </c>
      <c r="E151" s="2" t="s">
        <v>767</v>
      </c>
      <c r="F151" s="2" t="s">
        <v>813</v>
      </c>
      <c r="G151" s="2" t="s">
        <v>814</v>
      </c>
      <c r="H151" s="2" t="s">
        <v>815</v>
      </c>
      <c r="I151" s="2" t="s">
        <v>816</v>
      </c>
      <c r="J151" s="2" t="s">
        <v>197</v>
      </c>
      <c r="K151" s="2" t="s">
        <v>104</v>
      </c>
      <c r="L151" s="2"/>
      <c r="M151" s="2"/>
      <c r="N151" s="2"/>
      <c r="O151" s="2"/>
      <c r="P151" s="2"/>
      <c r="Q15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/>
  </sheetViews>
  <sheetFormatPr defaultRowHeight="14.4" x14ac:dyDescent="0.3"/>
  <cols>
    <col min="1" max="12" width="20" customWidth="1"/>
  </cols>
  <sheetData>
    <row r="1" spans="1:12" x14ac:dyDescent="0.3">
      <c r="A1" s="1" t="s">
        <v>817</v>
      </c>
      <c r="B1" s="1" t="s">
        <v>818</v>
      </c>
      <c r="C1" s="1" t="s">
        <v>819</v>
      </c>
      <c r="D1" s="1" t="s">
        <v>820</v>
      </c>
      <c r="E1" s="1" t="s">
        <v>821</v>
      </c>
      <c r="F1" s="1" t="s">
        <v>822</v>
      </c>
      <c r="G1" s="1" t="s">
        <v>823</v>
      </c>
      <c r="H1" s="1" t="s">
        <v>824</v>
      </c>
      <c r="I1" s="1" t="s">
        <v>825</v>
      </c>
      <c r="J1" s="1" t="s">
        <v>826</v>
      </c>
      <c r="K1" s="1" t="s">
        <v>827</v>
      </c>
      <c r="L1" s="1" t="s">
        <v>828</v>
      </c>
    </row>
    <row r="2" spans="1:12" x14ac:dyDescent="0.3">
      <c r="A2" t="s">
        <v>829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3">
      <c r="A3" t="s">
        <v>830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3">
      <c r="A4" t="s">
        <v>831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3">
      <c r="A5" t="s">
        <v>832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3">
      <c r="A6" t="s">
        <v>833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">
      <c r="A7" t="s">
        <v>834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">
      <c r="A8" t="s">
        <v>835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">
      <c r="A9" t="s">
        <v>836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3">
      <c r="A10" t="s">
        <v>837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3">
      <c r="A11" t="s">
        <v>838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">
      <c r="A12" t="s">
        <v>839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">
      <c r="A13" t="s">
        <v>840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">
      <c r="A14" t="s">
        <v>841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">
      <c r="A15" t="s">
        <v>842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">
      <c r="A16" t="s">
        <v>843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">
      <c r="A17" t="s">
        <v>844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">
      <c r="A18" t="s">
        <v>845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">
      <c r="A19" t="s">
        <v>846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">
      <c r="A20" t="s">
        <v>847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">
      <c r="A21" t="s">
        <v>848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">
      <c r="A22" t="s">
        <v>849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">
      <c r="A23" t="s">
        <v>850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workbookViewId="0"/>
  </sheetViews>
  <sheetFormatPr defaultRowHeight="14.4" x14ac:dyDescent="0.3"/>
  <cols>
    <col min="1" max="1" width="35" customWidth="1"/>
    <col min="2" max="2" width="20" customWidth="1"/>
  </cols>
  <sheetData>
    <row r="1" spans="1:2" ht="15.6" x14ac:dyDescent="0.3">
      <c r="A1" s="11" t="s">
        <v>851</v>
      </c>
    </row>
    <row r="2" spans="1:2" x14ac:dyDescent="0.3">
      <c r="A2" t="s">
        <v>852</v>
      </c>
      <c r="B2">
        <f>COUNTIF('Master Tracker'!B:B,"☑")</f>
        <v>0</v>
      </c>
    </row>
    <row r="3" spans="1:2" x14ac:dyDescent="0.3">
      <c r="A3" t="s">
        <v>853</v>
      </c>
      <c r="B3">
        <f>B2/150*100</f>
        <v>0</v>
      </c>
    </row>
    <row r="4" spans="1:2" x14ac:dyDescent="0.3">
      <c r="A4" t="s">
        <v>854</v>
      </c>
    </row>
    <row r="5" spans="1:2" x14ac:dyDescent="0.3">
      <c r="A5" t="s">
        <v>855</v>
      </c>
      <c r="B5">
        <f>150-B4</f>
        <v>150</v>
      </c>
    </row>
    <row r="6" spans="1:2" x14ac:dyDescent="0.3">
      <c r="A6" t="s">
        <v>856</v>
      </c>
    </row>
    <row r="7" spans="1:2" x14ac:dyDescent="0.3">
      <c r="A7" t="s">
        <v>857</v>
      </c>
    </row>
    <row r="9" spans="1:2" ht="15.6" x14ac:dyDescent="0.3">
      <c r="A9" s="11" t="s">
        <v>858</v>
      </c>
    </row>
    <row r="10" spans="1:2" x14ac:dyDescent="0.3">
      <c r="A10" t="s">
        <v>820</v>
      </c>
    </row>
    <row r="11" spans="1:2" x14ac:dyDescent="0.3">
      <c r="A11" t="s">
        <v>859</v>
      </c>
      <c r="B11" t="e">
        <f>B10/B4</f>
        <v>#DIV/0!</v>
      </c>
    </row>
    <row r="12" spans="1:2" x14ac:dyDescent="0.3">
      <c r="A12" t="s">
        <v>860</v>
      </c>
    </row>
    <row r="14" spans="1:2" ht="15.6" x14ac:dyDescent="0.3">
      <c r="A14" s="11" t="s">
        <v>861</v>
      </c>
    </row>
    <row r="15" spans="1:2" x14ac:dyDescent="0.3">
      <c r="A15" t="s">
        <v>862</v>
      </c>
    </row>
    <row r="16" spans="1:2" x14ac:dyDescent="0.3">
      <c r="A16" t="s">
        <v>863</v>
      </c>
    </row>
    <row r="17" spans="1:2" x14ac:dyDescent="0.3">
      <c r="A17" t="s">
        <v>864</v>
      </c>
    </row>
    <row r="18" spans="1:2" x14ac:dyDescent="0.3">
      <c r="A18" t="s">
        <v>865</v>
      </c>
    </row>
    <row r="19" spans="1:2" x14ac:dyDescent="0.3">
      <c r="A19" t="s">
        <v>866</v>
      </c>
    </row>
    <row r="20" spans="1:2" x14ac:dyDescent="0.3">
      <c r="A20" t="s">
        <v>867</v>
      </c>
    </row>
    <row r="22" spans="1:2" ht="15.6" x14ac:dyDescent="0.3">
      <c r="A22" s="11" t="s">
        <v>868</v>
      </c>
    </row>
    <row r="23" spans="1:2" x14ac:dyDescent="0.3">
      <c r="A23" t="s">
        <v>869</v>
      </c>
    </row>
    <row r="24" spans="1:2" x14ac:dyDescent="0.3">
      <c r="A24" t="s">
        <v>870</v>
      </c>
    </row>
    <row r="25" spans="1:2" x14ac:dyDescent="0.3">
      <c r="A25" t="s">
        <v>871</v>
      </c>
    </row>
    <row r="27" spans="1:2" ht="15.6" x14ac:dyDescent="0.3">
      <c r="A27" s="11" t="s">
        <v>872</v>
      </c>
    </row>
    <row r="28" spans="1:2" x14ac:dyDescent="0.3">
      <c r="A28" t="s">
        <v>873</v>
      </c>
    </row>
    <row r="29" spans="1:2" x14ac:dyDescent="0.3">
      <c r="A29" t="s">
        <v>874</v>
      </c>
    </row>
    <row r="31" spans="1:2" ht="15.6" x14ac:dyDescent="0.3">
      <c r="A31" s="11" t="s">
        <v>875</v>
      </c>
    </row>
    <row r="32" spans="1:2" x14ac:dyDescent="0.3">
      <c r="A32" t="s">
        <v>876</v>
      </c>
      <c r="B32">
        <f>COUNTIFS('Master Tracker'!D:D,"Foundation",'Master Tracker'!B:B,"☑")</f>
        <v>0</v>
      </c>
    </row>
    <row r="33" spans="1:2" x14ac:dyDescent="0.3">
      <c r="A33" t="s">
        <v>877</v>
      </c>
      <c r="B33">
        <f>COUNTIFS('Master Tracker'!D:D,"Distributed",'Master Tracker'!B:B,"☑")</f>
        <v>0</v>
      </c>
    </row>
    <row r="34" spans="1:2" x14ac:dyDescent="0.3">
      <c r="A34" t="s">
        <v>878</v>
      </c>
      <c r="B34">
        <f>COUNTIFS('Master Tracker'!D:D,"Cloud",'Master Tracker'!B:B,"☑")</f>
        <v>0</v>
      </c>
    </row>
    <row r="35" spans="1:2" x14ac:dyDescent="0.3">
      <c r="A35" t="s">
        <v>879</v>
      </c>
      <c r="B35">
        <f>COUNTIFS('Master Tracker'!D:D,"Security",'Master Tracker'!B:B,"☑")</f>
        <v>0</v>
      </c>
    </row>
    <row r="36" spans="1:2" x14ac:dyDescent="0.3">
      <c r="A36" t="s">
        <v>880</v>
      </c>
      <c r="B36">
        <f>COUNTIFS('Master Tracker'!D:D,"Advanced Frontend",'Master Tracker'!B:B,"☑")</f>
        <v>0</v>
      </c>
    </row>
    <row r="37" spans="1:2" x14ac:dyDescent="0.3">
      <c r="A37" t="s">
        <v>881</v>
      </c>
      <c r="B37">
        <f>COUNTIFS('Master Tracker'!D:D,"Mastery",'Master Tracker'!B:B,"☑")</f>
        <v>0</v>
      </c>
    </row>
    <row r="38" spans="1:2" x14ac:dyDescent="0.3">
      <c r="A38" t="s">
        <v>882</v>
      </c>
      <c r="B38">
        <f>COUNTIFS('Master Tracker'!D:D,"Capstone",'Master Tracker'!B:B,"☑")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7"/>
  <sheetViews>
    <sheetView workbookViewId="0"/>
  </sheetViews>
  <sheetFormatPr defaultRowHeight="14.4" x14ac:dyDescent="0.3"/>
  <cols>
    <col min="1" max="5" width="25" customWidth="1"/>
  </cols>
  <sheetData>
    <row r="1" spans="1:5" x14ac:dyDescent="0.3">
      <c r="A1" s="1" t="s">
        <v>4</v>
      </c>
      <c r="B1" s="1" t="s">
        <v>883</v>
      </c>
      <c r="C1" s="1" t="s">
        <v>884</v>
      </c>
      <c r="D1" s="1" t="s">
        <v>885</v>
      </c>
      <c r="E1" s="1" t="s">
        <v>886</v>
      </c>
    </row>
    <row r="2" spans="1:5" x14ac:dyDescent="0.3">
      <c r="A2" s="10"/>
      <c r="B2" s="10" t="s">
        <v>887</v>
      </c>
      <c r="C2" s="10"/>
      <c r="D2" s="10"/>
      <c r="E2" s="10"/>
    </row>
    <row r="3" spans="1:5" x14ac:dyDescent="0.3">
      <c r="A3" s="10"/>
      <c r="B3" s="10" t="s">
        <v>888</v>
      </c>
      <c r="C3" s="10"/>
      <c r="D3" s="10"/>
      <c r="E3" s="10"/>
    </row>
    <row r="4" spans="1:5" x14ac:dyDescent="0.3">
      <c r="A4" s="10"/>
      <c r="B4" s="10" t="s">
        <v>889</v>
      </c>
      <c r="C4" s="10"/>
      <c r="D4" s="10"/>
      <c r="E4" s="10"/>
    </row>
    <row r="5" spans="1:5" x14ac:dyDescent="0.3">
      <c r="A5" s="10"/>
      <c r="B5" s="10" t="s">
        <v>890</v>
      </c>
      <c r="C5" s="10"/>
      <c r="D5" s="10"/>
      <c r="E5" s="10"/>
    </row>
    <row r="6" spans="1:5" x14ac:dyDescent="0.3">
      <c r="A6" s="10"/>
      <c r="B6" s="10" t="s">
        <v>891</v>
      </c>
      <c r="C6" s="10"/>
      <c r="D6" s="10"/>
      <c r="E6" s="10"/>
    </row>
    <row r="7" spans="1:5" x14ac:dyDescent="0.3">
      <c r="A7" s="10"/>
      <c r="B7" s="10" t="s">
        <v>892</v>
      </c>
      <c r="C7" s="10"/>
      <c r="D7" s="10"/>
      <c r="E7" s="10"/>
    </row>
    <row r="8" spans="1:5" x14ac:dyDescent="0.3">
      <c r="A8" s="10"/>
      <c r="B8" s="10" t="s">
        <v>893</v>
      </c>
      <c r="C8" s="10"/>
      <c r="D8" s="10"/>
      <c r="E8" s="10"/>
    </row>
    <row r="9" spans="1:5" x14ac:dyDescent="0.3">
      <c r="A9" s="10"/>
      <c r="B9" s="10" t="s">
        <v>894</v>
      </c>
      <c r="C9" s="10"/>
      <c r="D9" s="10"/>
      <c r="E9" s="10"/>
    </row>
    <row r="10" spans="1:5" x14ac:dyDescent="0.3">
      <c r="A10" s="10"/>
      <c r="B10" s="10" t="s">
        <v>895</v>
      </c>
      <c r="C10" s="10"/>
      <c r="D10" s="10"/>
      <c r="E10" s="10"/>
    </row>
    <row r="11" spans="1:5" x14ac:dyDescent="0.3">
      <c r="A11" s="10"/>
      <c r="B11" s="10" t="s">
        <v>896</v>
      </c>
      <c r="C11" s="10"/>
      <c r="D11" s="10"/>
      <c r="E11" s="10"/>
    </row>
    <row r="12" spans="1:5" x14ac:dyDescent="0.3">
      <c r="A12" s="10"/>
      <c r="B12" s="10" t="s">
        <v>897</v>
      </c>
      <c r="C12" s="10"/>
      <c r="D12" s="10"/>
      <c r="E12" s="10"/>
    </row>
    <row r="13" spans="1:5" x14ac:dyDescent="0.3">
      <c r="A13" s="10"/>
      <c r="B13" s="10" t="s">
        <v>898</v>
      </c>
      <c r="C13" s="10"/>
      <c r="D13" s="10"/>
      <c r="E13" s="10"/>
    </row>
    <row r="14" spans="1:5" x14ac:dyDescent="0.3">
      <c r="A14" s="10"/>
      <c r="B14" s="10" t="s">
        <v>899</v>
      </c>
      <c r="C14" s="10"/>
      <c r="D14" s="10"/>
      <c r="E14" s="10"/>
    </row>
    <row r="15" spans="1:5" x14ac:dyDescent="0.3">
      <c r="A15" s="10"/>
      <c r="B15" s="10" t="s">
        <v>900</v>
      </c>
      <c r="C15" s="10"/>
      <c r="D15" s="10"/>
      <c r="E15" s="10"/>
    </row>
    <row r="16" spans="1:5" x14ac:dyDescent="0.3">
      <c r="A16" s="10"/>
      <c r="B16" s="10" t="s">
        <v>901</v>
      </c>
      <c r="C16" s="10"/>
      <c r="D16" s="10"/>
      <c r="E16" s="10"/>
    </row>
    <row r="17" spans="1:5" x14ac:dyDescent="0.3">
      <c r="A17" s="10"/>
      <c r="B17" s="10" t="s">
        <v>902</v>
      </c>
      <c r="C17" s="10"/>
      <c r="D17" s="10"/>
      <c r="E17" s="10"/>
    </row>
    <row r="18" spans="1:5" x14ac:dyDescent="0.3">
      <c r="A18" s="10"/>
      <c r="B18" s="10" t="s">
        <v>903</v>
      </c>
      <c r="C18" s="10"/>
      <c r="D18" s="10"/>
      <c r="E18" s="10"/>
    </row>
    <row r="19" spans="1:5" x14ac:dyDescent="0.3">
      <c r="A19" s="10"/>
      <c r="B19" s="10" t="s">
        <v>904</v>
      </c>
      <c r="C19" s="10"/>
      <c r="D19" s="10"/>
      <c r="E19" s="10"/>
    </row>
    <row r="20" spans="1:5" x14ac:dyDescent="0.3">
      <c r="A20" s="10"/>
      <c r="B20" s="10" t="s">
        <v>905</v>
      </c>
      <c r="C20" s="10"/>
      <c r="D20" s="10"/>
      <c r="E20" s="10"/>
    </row>
    <row r="21" spans="1:5" x14ac:dyDescent="0.3">
      <c r="A21" s="10"/>
      <c r="B21" s="10" t="s">
        <v>906</v>
      </c>
      <c r="C21" s="10"/>
      <c r="D21" s="10"/>
      <c r="E21" s="10"/>
    </row>
    <row r="22" spans="1:5" x14ac:dyDescent="0.3">
      <c r="A22" s="10"/>
      <c r="B22" s="10" t="s">
        <v>907</v>
      </c>
      <c r="C22" s="10"/>
      <c r="D22" s="10"/>
      <c r="E22" s="10"/>
    </row>
    <row r="23" spans="1:5" x14ac:dyDescent="0.3">
      <c r="A23" s="10"/>
      <c r="B23" s="10" t="s">
        <v>908</v>
      </c>
      <c r="C23" s="10"/>
      <c r="D23" s="10"/>
      <c r="E23" s="10"/>
    </row>
    <row r="24" spans="1:5" x14ac:dyDescent="0.3">
      <c r="A24" s="10"/>
      <c r="B24" s="10" t="s">
        <v>909</v>
      </c>
      <c r="C24" s="10"/>
      <c r="D24" s="10"/>
      <c r="E24" s="10"/>
    </row>
    <row r="25" spans="1:5" x14ac:dyDescent="0.3">
      <c r="A25" s="10"/>
      <c r="B25" s="10" t="s">
        <v>910</v>
      </c>
      <c r="C25" s="10"/>
      <c r="D25" s="10"/>
      <c r="E25" s="10"/>
    </row>
    <row r="26" spans="1:5" x14ac:dyDescent="0.3">
      <c r="A26" s="10"/>
      <c r="B26" s="10" t="s">
        <v>911</v>
      </c>
      <c r="C26" s="10"/>
      <c r="D26" s="10"/>
      <c r="E26" s="10"/>
    </row>
    <row r="27" spans="1:5" x14ac:dyDescent="0.3">
      <c r="A27" s="10"/>
      <c r="B27" s="10" t="s">
        <v>912</v>
      </c>
      <c r="C27" s="10"/>
      <c r="D27" s="10"/>
      <c r="E27" s="10"/>
    </row>
    <row r="28" spans="1:5" x14ac:dyDescent="0.3">
      <c r="A28" s="10"/>
      <c r="B28" s="10" t="s">
        <v>913</v>
      </c>
      <c r="C28" s="10"/>
      <c r="D28" s="10"/>
      <c r="E28" s="10"/>
    </row>
    <row r="29" spans="1:5" x14ac:dyDescent="0.3">
      <c r="A29" s="10"/>
      <c r="B29" s="10" t="s">
        <v>914</v>
      </c>
      <c r="C29" s="10"/>
      <c r="D29" s="10"/>
      <c r="E29" s="10"/>
    </row>
    <row r="30" spans="1:5" x14ac:dyDescent="0.3">
      <c r="A30" s="10"/>
      <c r="B30" s="10" t="s">
        <v>915</v>
      </c>
      <c r="C30" s="10"/>
      <c r="D30" s="10"/>
      <c r="E30" s="10"/>
    </row>
    <row r="31" spans="1:5" x14ac:dyDescent="0.3">
      <c r="A31" s="10"/>
      <c r="B31" s="10" t="s">
        <v>916</v>
      </c>
      <c r="C31" s="10"/>
      <c r="D31" s="10"/>
      <c r="E31" s="10"/>
    </row>
    <row r="32" spans="1:5" x14ac:dyDescent="0.3">
      <c r="A32" s="10"/>
      <c r="B32" s="10" t="s">
        <v>917</v>
      </c>
      <c r="C32" s="10"/>
      <c r="D32" s="10"/>
      <c r="E32" s="10"/>
    </row>
    <row r="33" spans="1:5" x14ac:dyDescent="0.3">
      <c r="A33" s="10"/>
      <c r="B33" s="10" t="s">
        <v>918</v>
      </c>
      <c r="C33" s="10"/>
      <c r="D33" s="10"/>
      <c r="E33" s="10"/>
    </row>
    <row r="34" spans="1:5" x14ac:dyDescent="0.3">
      <c r="A34" s="10"/>
      <c r="B34" s="10" t="s">
        <v>919</v>
      </c>
      <c r="C34" s="10"/>
      <c r="D34" s="10"/>
      <c r="E34" s="10"/>
    </row>
    <row r="35" spans="1:5" x14ac:dyDescent="0.3">
      <c r="A35" s="10"/>
      <c r="B35" s="10" t="s">
        <v>920</v>
      </c>
      <c r="C35" s="10"/>
      <c r="D35" s="10"/>
      <c r="E35" s="10"/>
    </row>
    <row r="36" spans="1:5" x14ac:dyDescent="0.3">
      <c r="A36" s="10"/>
      <c r="B36" s="10" t="s">
        <v>921</v>
      </c>
      <c r="C36" s="10"/>
      <c r="D36" s="10"/>
      <c r="E36" s="10"/>
    </row>
    <row r="37" spans="1:5" x14ac:dyDescent="0.3">
      <c r="A37" s="10"/>
      <c r="B37" s="10" t="s">
        <v>922</v>
      </c>
      <c r="C37" s="10"/>
      <c r="D37" s="10"/>
      <c r="E37" s="10"/>
    </row>
    <row r="38" spans="1:5" x14ac:dyDescent="0.3">
      <c r="A38" s="10"/>
      <c r="B38" s="10" t="s">
        <v>923</v>
      </c>
      <c r="C38" s="10"/>
      <c r="D38" s="10"/>
      <c r="E38" s="10"/>
    </row>
    <row r="39" spans="1:5" x14ac:dyDescent="0.3">
      <c r="A39" s="10"/>
      <c r="B39" s="10" t="s">
        <v>924</v>
      </c>
      <c r="C39" s="10"/>
      <c r="D39" s="10"/>
      <c r="E39" s="10"/>
    </row>
    <row r="40" spans="1:5" x14ac:dyDescent="0.3">
      <c r="A40" s="10"/>
      <c r="B40" s="10" t="s">
        <v>925</v>
      </c>
      <c r="C40" s="10"/>
      <c r="D40" s="10"/>
      <c r="E40" s="10"/>
    </row>
    <row r="41" spans="1:5" x14ac:dyDescent="0.3">
      <c r="A41" s="10"/>
      <c r="B41" s="10" t="s">
        <v>926</v>
      </c>
      <c r="C41" s="10"/>
      <c r="D41" s="10"/>
      <c r="E41" s="10"/>
    </row>
    <row r="42" spans="1:5" x14ac:dyDescent="0.3">
      <c r="A42" s="10"/>
      <c r="B42" s="10" t="s">
        <v>927</v>
      </c>
      <c r="C42" s="10"/>
      <c r="D42" s="10"/>
      <c r="E42" s="10"/>
    </row>
    <row r="43" spans="1:5" x14ac:dyDescent="0.3">
      <c r="A43" s="10"/>
      <c r="B43" s="10" t="s">
        <v>928</v>
      </c>
      <c r="C43" s="10"/>
      <c r="D43" s="10"/>
      <c r="E43" s="10"/>
    </row>
    <row r="44" spans="1:5" x14ac:dyDescent="0.3">
      <c r="A44" s="10"/>
      <c r="B44" s="10" t="s">
        <v>929</v>
      </c>
      <c r="C44" s="10"/>
      <c r="D44" s="10"/>
      <c r="E44" s="10"/>
    </row>
    <row r="45" spans="1:5" x14ac:dyDescent="0.3">
      <c r="A45" s="10"/>
      <c r="B45" s="10" t="s">
        <v>930</v>
      </c>
      <c r="C45" s="10"/>
      <c r="D45" s="10"/>
      <c r="E45" s="10"/>
    </row>
    <row r="46" spans="1:5" x14ac:dyDescent="0.3">
      <c r="A46" s="10"/>
      <c r="B46" s="10" t="s">
        <v>931</v>
      </c>
      <c r="C46" s="10"/>
      <c r="D46" s="10"/>
      <c r="E46" s="10"/>
    </row>
    <row r="47" spans="1:5" x14ac:dyDescent="0.3">
      <c r="A47" s="10"/>
      <c r="B47" s="10" t="s">
        <v>932</v>
      </c>
      <c r="C47" s="10"/>
      <c r="D47" s="10"/>
      <c r="E47" s="10"/>
    </row>
    <row r="48" spans="1:5" x14ac:dyDescent="0.3">
      <c r="A48" s="10"/>
      <c r="B48" s="10" t="s">
        <v>933</v>
      </c>
      <c r="C48" s="10"/>
      <c r="D48" s="10"/>
      <c r="E48" s="10"/>
    </row>
    <row r="49" spans="1:5" x14ac:dyDescent="0.3">
      <c r="A49" s="10"/>
      <c r="B49" s="10" t="s">
        <v>934</v>
      </c>
      <c r="C49" s="10"/>
      <c r="D49" s="10"/>
      <c r="E49" s="10"/>
    </row>
    <row r="50" spans="1:5" x14ac:dyDescent="0.3">
      <c r="A50" s="10"/>
      <c r="B50" s="10" t="s">
        <v>935</v>
      </c>
      <c r="C50" s="10"/>
      <c r="D50" s="10"/>
      <c r="E50" s="10"/>
    </row>
    <row r="51" spans="1:5" x14ac:dyDescent="0.3">
      <c r="A51" s="10"/>
      <c r="B51" s="10" t="s">
        <v>936</v>
      </c>
      <c r="C51" s="10"/>
      <c r="D51" s="10"/>
      <c r="E51" s="10"/>
    </row>
    <row r="52" spans="1:5" x14ac:dyDescent="0.3">
      <c r="A52" s="10"/>
      <c r="B52" s="10" t="s">
        <v>937</v>
      </c>
      <c r="C52" s="10"/>
      <c r="D52" s="10"/>
      <c r="E52" s="10"/>
    </row>
    <row r="53" spans="1:5" x14ac:dyDescent="0.3">
      <c r="A53" s="10"/>
      <c r="B53" s="10" t="s">
        <v>938</v>
      </c>
      <c r="C53" s="10"/>
      <c r="D53" s="10"/>
      <c r="E53" s="10"/>
    </row>
    <row r="54" spans="1:5" x14ac:dyDescent="0.3">
      <c r="A54" s="10"/>
      <c r="B54" s="10" t="s">
        <v>939</v>
      </c>
      <c r="C54" s="10"/>
      <c r="D54" s="10"/>
      <c r="E54" s="10"/>
    </row>
    <row r="55" spans="1:5" x14ac:dyDescent="0.3">
      <c r="A55" s="10"/>
      <c r="B55" s="10" t="s">
        <v>940</v>
      </c>
      <c r="C55" s="10"/>
      <c r="D55" s="10"/>
      <c r="E55" s="10"/>
    </row>
    <row r="56" spans="1:5" x14ac:dyDescent="0.3">
      <c r="A56" s="10"/>
      <c r="B56" s="10" t="s">
        <v>941</v>
      </c>
      <c r="C56" s="10"/>
      <c r="D56" s="10"/>
      <c r="E56" s="10"/>
    </row>
    <row r="57" spans="1:5" x14ac:dyDescent="0.3">
      <c r="A57" s="10"/>
      <c r="B57" s="10" t="s">
        <v>942</v>
      </c>
      <c r="C57" s="10"/>
      <c r="D57" s="10"/>
      <c r="E57" s="10"/>
    </row>
    <row r="58" spans="1:5" x14ac:dyDescent="0.3">
      <c r="A58" s="10"/>
      <c r="B58" s="10" t="s">
        <v>943</v>
      </c>
      <c r="C58" s="10"/>
      <c r="D58" s="10"/>
      <c r="E58" s="10"/>
    </row>
    <row r="59" spans="1:5" x14ac:dyDescent="0.3">
      <c r="A59" s="10"/>
      <c r="B59" s="10" t="s">
        <v>944</v>
      </c>
      <c r="C59" s="10"/>
      <c r="D59" s="10"/>
      <c r="E59" s="10"/>
    </row>
    <row r="60" spans="1:5" x14ac:dyDescent="0.3">
      <c r="A60" s="10"/>
      <c r="B60" s="10" t="s">
        <v>945</v>
      </c>
      <c r="C60" s="10"/>
      <c r="D60" s="10"/>
      <c r="E60" s="10"/>
    </row>
    <row r="61" spans="1:5" x14ac:dyDescent="0.3">
      <c r="A61" s="10"/>
      <c r="B61" s="10" t="s">
        <v>946</v>
      </c>
      <c r="C61" s="10"/>
      <c r="D61" s="10"/>
      <c r="E61" s="10"/>
    </row>
    <row r="62" spans="1:5" x14ac:dyDescent="0.3">
      <c r="A62" s="10"/>
      <c r="B62" s="10" t="s">
        <v>947</v>
      </c>
      <c r="C62" s="10"/>
      <c r="D62" s="10"/>
      <c r="E62" s="10"/>
    </row>
    <row r="63" spans="1:5" x14ac:dyDescent="0.3">
      <c r="A63" s="10"/>
      <c r="B63" s="10" t="s">
        <v>948</v>
      </c>
      <c r="C63" s="10"/>
      <c r="D63" s="10"/>
      <c r="E63" s="10"/>
    </row>
    <row r="64" spans="1:5" x14ac:dyDescent="0.3">
      <c r="A64" s="10"/>
      <c r="B64" s="10" t="s">
        <v>949</v>
      </c>
      <c r="C64" s="10"/>
      <c r="D64" s="10"/>
      <c r="E64" s="10"/>
    </row>
    <row r="65" spans="1:5" x14ac:dyDescent="0.3">
      <c r="A65" s="10"/>
      <c r="B65" s="10" t="s">
        <v>950</v>
      </c>
      <c r="C65" s="10"/>
      <c r="D65" s="10"/>
      <c r="E65" s="10"/>
    </row>
    <row r="66" spans="1:5" x14ac:dyDescent="0.3">
      <c r="A66" s="10"/>
      <c r="B66" s="10" t="s">
        <v>951</v>
      </c>
      <c r="C66" s="10"/>
      <c r="D66" s="10"/>
      <c r="E66" s="10"/>
    </row>
    <row r="67" spans="1:5" x14ac:dyDescent="0.3">
      <c r="A67" s="10"/>
      <c r="B67" s="10" t="s">
        <v>952</v>
      </c>
      <c r="C67" s="10"/>
      <c r="D67" s="10"/>
      <c r="E67" s="10"/>
    </row>
    <row r="68" spans="1:5" x14ac:dyDescent="0.3">
      <c r="A68" s="10"/>
      <c r="B68" s="10" t="s">
        <v>953</v>
      </c>
      <c r="C68" s="10"/>
      <c r="D68" s="10"/>
      <c r="E68" s="10"/>
    </row>
    <row r="69" spans="1:5" x14ac:dyDescent="0.3">
      <c r="A69" s="10"/>
      <c r="B69" s="10" t="s">
        <v>954</v>
      </c>
      <c r="C69" s="10"/>
      <c r="D69" s="10"/>
      <c r="E69" s="10"/>
    </row>
    <row r="70" spans="1:5" x14ac:dyDescent="0.3">
      <c r="A70" s="10"/>
      <c r="B70" s="10" t="s">
        <v>955</v>
      </c>
      <c r="C70" s="10"/>
      <c r="D70" s="10"/>
      <c r="E70" s="10"/>
    </row>
    <row r="71" spans="1:5" x14ac:dyDescent="0.3">
      <c r="A71" s="10"/>
      <c r="B71" s="10" t="s">
        <v>956</v>
      </c>
      <c r="C71" s="10"/>
      <c r="D71" s="10"/>
      <c r="E71" s="10"/>
    </row>
    <row r="72" spans="1:5" x14ac:dyDescent="0.3">
      <c r="A72" s="10"/>
      <c r="B72" s="10" t="s">
        <v>957</v>
      </c>
      <c r="C72" s="10"/>
      <c r="D72" s="10"/>
      <c r="E72" s="10"/>
    </row>
    <row r="73" spans="1:5" x14ac:dyDescent="0.3">
      <c r="A73" s="10"/>
      <c r="B73" s="10" t="s">
        <v>958</v>
      </c>
      <c r="C73" s="10"/>
      <c r="D73" s="10"/>
      <c r="E73" s="10"/>
    </row>
    <row r="74" spans="1:5" x14ac:dyDescent="0.3">
      <c r="A74" s="10"/>
      <c r="B74" s="10" t="s">
        <v>959</v>
      </c>
      <c r="C74" s="10"/>
      <c r="D74" s="10"/>
      <c r="E74" s="10"/>
    </row>
    <row r="75" spans="1:5" x14ac:dyDescent="0.3">
      <c r="A75" s="10"/>
      <c r="B75" s="10" t="s">
        <v>960</v>
      </c>
      <c r="C75" s="10"/>
      <c r="D75" s="10"/>
      <c r="E75" s="10"/>
    </row>
    <row r="76" spans="1:5" x14ac:dyDescent="0.3">
      <c r="A76" s="10"/>
      <c r="B76" s="10" t="s">
        <v>961</v>
      </c>
      <c r="C76" s="10"/>
      <c r="D76" s="10"/>
      <c r="E76" s="10"/>
    </row>
    <row r="77" spans="1:5" x14ac:dyDescent="0.3">
      <c r="A77" s="10"/>
      <c r="B77" s="10" t="s">
        <v>962</v>
      </c>
      <c r="C77" s="10"/>
      <c r="D77" s="10"/>
      <c r="E77" s="10"/>
    </row>
    <row r="78" spans="1:5" x14ac:dyDescent="0.3">
      <c r="A78" s="10"/>
      <c r="B78" s="10" t="s">
        <v>963</v>
      </c>
      <c r="C78" s="10"/>
      <c r="D78" s="10"/>
      <c r="E78" s="10"/>
    </row>
    <row r="79" spans="1:5" x14ac:dyDescent="0.3">
      <c r="A79" s="10"/>
      <c r="B79" s="10" t="s">
        <v>964</v>
      </c>
      <c r="C79" s="10"/>
      <c r="D79" s="10"/>
      <c r="E79" s="10"/>
    </row>
    <row r="80" spans="1:5" x14ac:dyDescent="0.3">
      <c r="A80" s="10"/>
      <c r="B80" s="10" t="s">
        <v>965</v>
      </c>
      <c r="C80" s="10"/>
      <c r="D80" s="10"/>
      <c r="E80" s="10"/>
    </row>
    <row r="81" spans="1:5" x14ac:dyDescent="0.3">
      <c r="A81" s="10"/>
      <c r="B81" s="10" t="s">
        <v>966</v>
      </c>
      <c r="C81" s="10"/>
      <c r="D81" s="10"/>
      <c r="E81" s="10"/>
    </row>
    <row r="82" spans="1:5" x14ac:dyDescent="0.3">
      <c r="A82" s="10"/>
      <c r="B82" s="10" t="s">
        <v>967</v>
      </c>
      <c r="C82" s="10"/>
      <c r="D82" s="10"/>
      <c r="E82" s="10"/>
    </row>
    <row r="83" spans="1:5" x14ac:dyDescent="0.3">
      <c r="A83" s="10"/>
      <c r="B83" s="10" t="s">
        <v>968</v>
      </c>
      <c r="C83" s="10"/>
      <c r="D83" s="10"/>
      <c r="E83" s="10"/>
    </row>
    <row r="84" spans="1:5" x14ac:dyDescent="0.3">
      <c r="A84" s="10"/>
      <c r="B84" s="10" t="s">
        <v>969</v>
      </c>
      <c r="C84" s="10"/>
      <c r="D84" s="10"/>
      <c r="E84" s="10"/>
    </row>
    <row r="85" spans="1:5" x14ac:dyDescent="0.3">
      <c r="A85" s="10"/>
      <c r="B85" s="10" t="s">
        <v>970</v>
      </c>
      <c r="C85" s="10"/>
      <c r="D85" s="10"/>
      <c r="E85" s="10"/>
    </row>
    <row r="86" spans="1:5" x14ac:dyDescent="0.3">
      <c r="A86" s="10"/>
      <c r="B86" s="10" t="s">
        <v>971</v>
      </c>
      <c r="C86" s="10"/>
      <c r="D86" s="10"/>
      <c r="E86" s="10"/>
    </row>
    <row r="87" spans="1:5" x14ac:dyDescent="0.3">
      <c r="A87" s="10"/>
      <c r="B87" s="10" t="s">
        <v>972</v>
      </c>
      <c r="C87" s="10"/>
      <c r="D87" s="10"/>
      <c r="E87" s="10"/>
    </row>
    <row r="88" spans="1:5" x14ac:dyDescent="0.3">
      <c r="A88" s="10"/>
      <c r="B88" s="10" t="s">
        <v>973</v>
      </c>
      <c r="C88" s="10"/>
      <c r="D88" s="10"/>
      <c r="E88" s="10"/>
    </row>
    <row r="89" spans="1:5" x14ac:dyDescent="0.3">
      <c r="A89" s="10"/>
      <c r="B89" s="10" t="s">
        <v>974</v>
      </c>
      <c r="C89" s="10"/>
      <c r="D89" s="10"/>
      <c r="E89" s="10"/>
    </row>
    <row r="90" spans="1:5" x14ac:dyDescent="0.3">
      <c r="A90" s="10"/>
      <c r="B90" s="10" t="s">
        <v>975</v>
      </c>
      <c r="C90" s="10"/>
      <c r="D90" s="10"/>
      <c r="E90" s="10"/>
    </row>
    <row r="91" spans="1:5" x14ac:dyDescent="0.3">
      <c r="A91" s="10"/>
      <c r="B91" s="10" t="s">
        <v>976</v>
      </c>
      <c r="C91" s="10"/>
      <c r="D91" s="10"/>
      <c r="E91" s="10"/>
    </row>
    <row r="92" spans="1:5" x14ac:dyDescent="0.3">
      <c r="A92" s="10"/>
      <c r="B92" s="10" t="s">
        <v>977</v>
      </c>
      <c r="C92" s="10"/>
      <c r="D92" s="10"/>
      <c r="E92" s="10"/>
    </row>
    <row r="93" spans="1:5" x14ac:dyDescent="0.3">
      <c r="A93" s="10"/>
      <c r="B93" s="10" t="s">
        <v>978</v>
      </c>
      <c r="C93" s="10"/>
      <c r="D93" s="10"/>
      <c r="E93" s="10"/>
    </row>
    <row r="94" spans="1:5" x14ac:dyDescent="0.3">
      <c r="A94" s="10"/>
      <c r="B94" s="10" t="s">
        <v>979</v>
      </c>
      <c r="C94" s="10"/>
      <c r="D94" s="10"/>
      <c r="E94" s="10"/>
    </row>
    <row r="95" spans="1:5" x14ac:dyDescent="0.3">
      <c r="A95" s="10"/>
      <c r="B95" s="10" t="s">
        <v>980</v>
      </c>
      <c r="C95" s="10"/>
      <c r="D95" s="10"/>
      <c r="E95" s="10"/>
    </row>
    <row r="96" spans="1:5" x14ac:dyDescent="0.3">
      <c r="A96" s="10"/>
      <c r="B96" s="10" t="s">
        <v>981</v>
      </c>
      <c r="C96" s="10"/>
      <c r="D96" s="10"/>
      <c r="E96" s="10"/>
    </row>
    <row r="97" spans="1:5" x14ac:dyDescent="0.3">
      <c r="A97" s="10"/>
      <c r="B97" s="10" t="s">
        <v>982</v>
      </c>
      <c r="C97" s="10"/>
      <c r="D97" s="10"/>
      <c r="E97" s="10"/>
    </row>
    <row r="98" spans="1:5" x14ac:dyDescent="0.3">
      <c r="A98" s="10"/>
      <c r="B98" s="10" t="s">
        <v>983</v>
      </c>
      <c r="C98" s="10"/>
      <c r="D98" s="10"/>
      <c r="E98" s="10"/>
    </row>
    <row r="99" spans="1:5" x14ac:dyDescent="0.3">
      <c r="A99" s="10"/>
      <c r="B99" s="10" t="s">
        <v>984</v>
      </c>
      <c r="C99" s="10"/>
      <c r="D99" s="10"/>
      <c r="E99" s="10"/>
    </row>
    <row r="100" spans="1:5" x14ac:dyDescent="0.3">
      <c r="A100" s="10"/>
      <c r="B100" s="10" t="s">
        <v>985</v>
      </c>
      <c r="C100" s="10"/>
      <c r="D100" s="10"/>
      <c r="E100" s="10"/>
    </row>
    <row r="101" spans="1:5" x14ac:dyDescent="0.3">
      <c r="A101" s="10"/>
      <c r="B101" s="10" t="s">
        <v>986</v>
      </c>
      <c r="C101" s="10"/>
      <c r="D101" s="10"/>
      <c r="E101" s="10"/>
    </row>
    <row r="102" spans="1:5" x14ac:dyDescent="0.3">
      <c r="A102" s="10"/>
      <c r="B102" s="10" t="s">
        <v>987</v>
      </c>
      <c r="C102" s="10"/>
      <c r="D102" s="10"/>
      <c r="E102" s="10"/>
    </row>
    <row r="103" spans="1:5" x14ac:dyDescent="0.3">
      <c r="A103" s="10"/>
      <c r="B103" s="10" t="s">
        <v>988</v>
      </c>
      <c r="C103" s="10"/>
      <c r="D103" s="10"/>
      <c r="E103" s="10"/>
    </row>
    <row r="104" spans="1:5" x14ac:dyDescent="0.3">
      <c r="A104" s="10"/>
      <c r="B104" s="10" t="s">
        <v>989</v>
      </c>
      <c r="C104" s="10"/>
      <c r="D104" s="10"/>
      <c r="E104" s="10"/>
    </row>
    <row r="105" spans="1:5" x14ac:dyDescent="0.3">
      <c r="A105" s="10"/>
      <c r="B105" s="10" t="s">
        <v>990</v>
      </c>
      <c r="C105" s="10"/>
      <c r="D105" s="10"/>
      <c r="E105" s="10"/>
    </row>
    <row r="106" spans="1:5" x14ac:dyDescent="0.3">
      <c r="A106" s="10"/>
      <c r="B106" s="10" t="s">
        <v>991</v>
      </c>
      <c r="C106" s="10"/>
      <c r="D106" s="10"/>
      <c r="E106" s="10"/>
    </row>
    <row r="107" spans="1:5" x14ac:dyDescent="0.3">
      <c r="A107" s="10"/>
      <c r="B107" s="10" t="s">
        <v>992</v>
      </c>
      <c r="C107" s="10"/>
      <c r="D107" s="10"/>
      <c r="E107" s="10"/>
    </row>
    <row r="108" spans="1:5" x14ac:dyDescent="0.3">
      <c r="A108" s="10"/>
      <c r="B108" s="10" t="s">
        <v>993</v>
      </c>
      <c r="C108" s="10"/>
      <c r="D108" s="10"/>
      <c r="E108" s="10"/>
    </row>
    <row r="109" spans="1:5" x14ac:dyDescent="0.3">
      <c r="A109" s="10"/>
      <c r="B109" s="10" t="s">
        <v>994</v>
      </c>
      <c r="C109" s="10"/>
      <c r="D109" s="10"/>
      <c r="E109" s="10"/>
    </row>
    <row r="110" spans="1:5" x14ac:dyDescent="0.3">
      <c r="A110" s="10"/>
      <c r="B110" s="10" t="s">
        <v>995</v>
      </c>
      <c r="C110" s="10"/>
      <c r="D110" s="10"/>
      <c r="E110" s="10"/>
    </row>
    <row r="111" spans="1:5" x14ac:dyDescent="0.3">
      <c r="A111" s="10"/>
      <c r="B111" s="10" t="s">
        <v>996</v>
      </c>
      <c r="C111" s="10"/>
      <c r="D111" s="10"/>
      <c r="E111" s="10"/>
    </row>
    <row r="112" spans="1:5" x14ac:dyDescent="0.3">
      <c r="A112" s="10"/>
      <c r="B112" s="10" t="s">
        <v>997</v>
      </c>
      <c r="C112" s="10"/>
      <c r="D112" s="10"/>
      <c r="E112" s="10"/>
    </row>
    <row r="113" spans="1:5" x14ac:dyDescent="0.3">
      <c r="A113" s="10"/>
      <c r="B113" s="10" t="s">
        <v>998</v>
      </c>
      <c r="C113" s="10"/>
      <c r="D113" s="10"/>
      <c r="E113" s="10"/>
    </row>
    <row r="114" spans="1:5" x14ac:dyDescent="0.3">
      <c r="A114" s="10"/>
      <c r="B114" s="10" t="s">
        <v>999</v>
      </c>
      <c r="C114" s="10"/>
      <c r="D114" s="10"/>
      <c r="E114" s="10"/>
    </row>
    <row r="115" spans="1:5" x14ac:dyDescent="0.3">
      <c r="A115" s="10"/>
      <c r="B115" s="10" t="s">
        <v>1000</v>
      </c>
      <c r="C115" s="10"/>
      <c r="D115" s="10"/>
      <c r="E115" s="10"/>
    </row>
    <row r="116" spans="1:5" x14ac:dyDescent="0.3">
      <c r="A116" s="10"/>
      <c r="B116" s="10" t="s">
        <v>1001</v>
      </c>
      <c r="C116" s="10"/>
      <c r="D116" s="10"/>
      <c r="E116" s="10"/>
    </row>
    <row r="117" spans="1:5" x14ac:dyDescent="0.3">
      <c r="A117" s="10"/>
      <c r="B117" s="10" t="s">
        <v>1002</v>
      </c>
      <c r="C117" s="10"/>
      <c r="D117" s="10"/>
      <c r="E117" s="10"/>
    </row>
    <row r="118" spans="1:5" x14ac:dyDescent="0.3">
      <c r="A118" s="10"/>
      <c r="B118" s="10" t="s">
        <v>1003</v>
      </c>
      <c r="C118" s="10"/>
      <c r="D118" s="10"/>
      <c r="E118" s="10"/>
    </row>
    <row r="119" spans="1:5" x14ac:dyDescent="0.3">
      <c r="A119" s="10"/>
      <c r="B119" s="10" t="s">
        <v>1004</v>
      </c>
      <c r="C119" s="10"/>
      <c r="D119" s="10"/>
      <c r="E119" s="10"/>
    </row>
    <row r="120" spans="1:5" x14ac:dyDescent="0.3">
      <c r="A120" s="10"/>
      <c r="B120" s="10" t="s">
        <v>1005</v>
      </c>
      <c r="C120" s="10"/>
      <c r="D120" s="10"/>
      <c r="E120" s="10"/>
    </row>
    <row r="121" spans="1:5" x14ac:dyDescent="0.3">
      <c r="A121" s="10"/>
      <c r="B121" s="10" t="s">
        <v>1006</v>
      </c>
      <c r="C121" s="10"/>
      <c r="D121" s="10"/>
      <c r="E121" s="10"/>
    </row>
    <row r="122" spans="1:5" x14ac:dyDescent="0.3">
      <c r="A122" s="10"/>
      <c r="B122" s="10" t="s">
        <v>1007</v>
      </c>
      <c r="C122" s="10"/>
      <c r="D122" s="10"/>
      <c r="E122" s="10"/>
    </row>
    <row r="123" spans="1:5" x14ac:dyDescent="0.3">
      <c r="A123" s="10"/>
      <c r="B123" s="10" t="s">
        <v>1008</v>
      </c>
      <c r="C123" s="10"/>
      <c r="D123" s="10"/>
      <c r="E123" s="10"/>
    </row>
    <row r="124" spans="1:5" x14ac:dyDescent="0.3">
      <c r="A124" s="10"/>
      <c r="B124" s="10" t="s">
        <v>1009</v>
      </c>
      <c r="C124" s="10"/>
      <c r="D124" s="10"/>
      <c r="E124" s="10"/>
    </row>
    <row r="125" spans="1:5" x14ac:dyDescent="0.3">
      <c r="A125" s="10"/>
      <c r="B125" s="10" t="s">
        <v>1010</v>
      </c>
      <c r="C125" s="10"/>
      <c r="D125" s="10"/>
      <c r="E125" s="10"/>
    </row>
    <row r="126" spans="1:5" x14ac:dyDescent="0.3">
      <c r="A126" s="10"/>
      <c r="B126" s="10" t="s">
        <v>1011</v>
      </c>
      <c r="C126" s="10"/>
      <c r="D126" s="10"/>
      <c r="E126" s="10"/>
    </row>
    <row r="127" spans="1:5" x14ac:dyDescent="0.3">
      <c r="A127" s="10"/>
      <c r="B127" s="10" t="s">
        <v>1012</v>
      </c>
      <c r="C127" s="10"/>
      <c r="D127" s="10"/>
      <c r="E127" s="10"/>
    </row>
    <row r="128" spans="1:5" x14ac:dyDescent="0.3">
      <c r="A128" s="10"/>
      <c r="B128" s="10" t="s">
        <v>1013</v>
      </c>
      <c r="C128" s="10"/>
      <c r="D128" s="10"/>
      <c r="E128" s="10"/>
    </row>
    <row r="129" spans="1:5" x14ac:dyDescent="0.3">
      <c r="A129" s="10"/>
      <c r="B129" s="10" t="s">
        <v>1014</v>
      </c>
      <c r="C129" s="10"/>
      <c r="D129" s="10"/>
      <c r="E129" s="10"/>
    </row>
    <row r="130" spans="1:5" x14ac:dyDescent="0.3">
      <c r="A130" s="10"/>
      <c r="B130" s="10" t="s">
        <v>1015</v>
      </c>
      <c r="C130" s="10"/>
      <c r="D130" s="10"/>
      <c r="E130" s="10"/>
    </row>
    <row r="131" spans="1:5" x14ac:dyDescent="0.3">
      <c r="A131" s="10"/>
      <c r="B131" s="10" t="s">
        <v>1016</v>
      </c>
      <c r="C131" s="10"/>
      <c r="D131" s="10"/>
      <c r="E131" s="10"/>
    </row>
    <row r="132" spans="1:5" x14ac:dyDescent="0.3">
      <c r="A132" s="10"/>
      <c r="B132" s="10" t="s">
        <v>1017</v>
      </c>
      <c r="C132" s="10"/>
      <c r="D132" s="10"/>
      <c r="E132" s="10"/>
    </row>
    <row r="133" spans="1:5" x14ac:dyDescent="0.3">
      <c r="A133" s="10"/>
      <c r="B133" s="10" t="s">
        <v>1018</v>
      </c>
      <c r="C133" s="10"/>
      <c r="D133" s="10"/>
      <c r="E133" s="10"/>
    </row>
    <row r="134" spans="1:5" x14ac:dyDescent="0.3">
      <c r="A134" s="10"/>
      <c r="B134" s="10" t="s">
        <v>1019</v>
      </c>
      <c r="C134" s="10"/>
      <c r="D134" s="10"/>
      <c r="E134" s="10"/>
    </row>
    <row r="135" spans="1:5" x14ac:dyDescent="0.3">
      <c r="A135" s="10"/>
      <c r="B135" s="10" t="s">
        <v>1020</v>
      </c>
      <c r="C135" s="10"/>
      <c r="D135" s="10"/>
      <c r="E135" s="10"/>
    </row>
    <row r="136" spans="1:5" x14ac:dyDescent="0.3">
      <c r="A136" s="10"/>
      <c r="B136" s="10" t="s">
        <v>1021</v>
      </c>
      <c r="C136" s="10"/>
      <c r="D136" s="10"/>
      <c r="E136" s="10"/>
    </row>
    <row r="137" spans="1:5" x14ac:dyDescent="0.3">
      <c r="A137" s="10"/>
      <c r="B137" s="10" t="s">
        <v>1022</v>
      </c>
      <c r="C137" s="10"/>
      <c r="D137" s="10"/>
      <c r="E137" s="10"/>
    </row>
    <row r="138" spans="1:5" x14ac:dyDescent="0.3">
      <c r="A138" s="10"/>
      <c r="B138" s="10" t="s">
        <v>1023</v>
      </c>
      <c r="C138" s="10"/>
      <c r="D138" s="10"/>
      <c r="E138" s="10"/>
    </row>
    <row r="139" spans="1:5" x14ac:dyDescent="0.3">
      <c r="A139" s="10"/>
      <c r="B139" s="10" t="s">
        <v>1024</v>
      </c>
      <c r="C139" s="10"/>
      <c r="D139" s="10"/>
      <c r="E139" s="10"/>
    </row>
    <row r="140" spans="1:5" x14ac:dyDescent="0.3">
      <c r="A140" s="10"/>
      <c r="B140" s="10" t="s">
        <v>1025</v>
      </c>
      <c r="C140" s="10"/>
      <c r="D140" s="10"/>
      <c r="E140" s="10"/>
    </row>
    <row r="141" spans="1:5" x14ac:dyDescent="0.3">
      <c r="A141" s="10"/>
      <c r="B141" s="10" t="s">
        <v>1026</v>
      </c>
      <c r="C141" s="10"/>
      <c r="D141" s="10"/>
      <c r="E141" s="10"/>
    </row>
    <row r="142" spans="1:5" x14ac:dyDescent="0.3">
      <c r="A142" s="10"/>
      <c r="B142" s="10" t="s">
        <v>1027</v>
      </c>
      <c r="C142" s="10"/>
      <c r="D142" s="10"/>
      <c r="E142" s="10"/>
    </row>
    <row r="143" spans="1:5" x14ac:dyDescent="0.3">
      <c r="A143" s="10"/>
      <c r="B143" s="10" t="s">
        <v>1028</v>
      </c>
      <c r="C143" s="10"/>
      <c r="D143" s="10"/>
      <c r="E143" s="10"/>
    </row>
    <row r="144" spans="1:5" x14ac:dyDescent="0.3">
      <c r="A144" s="10"/>
      <c r="B144" s="10" t="s">
        <v>1029</v>
      </c>
      <c r="C144" s="10"/>
      <c r="D144" s="10"/>
      <c r="E144" s="10"/>
    </row>
    <row r="145" spans="1:5" x14ac:dyDescent="0.3">
      <c r="A145" s="10"/>
      <c r="B145" s="10" t="s">
        <v>1030</v>
      </c>
      <c r="C145" s="10"/>
      <c r="D145" s="10"/>
      <c r="E145" s="10"/>
    </row>
    <row r="146" spans="1:5" x14ac:dyDescent="0.3">
      <c r="A146" s="10"/>
      <c r="B146" s="10" t="s">
        <v>1031</v>
      </c>
      <c r="C146" s="10"/>
      <c r="D146" s="10"/>
      <c r="E146" s="10"/>
    </row>
    <row r="147" spans="1:5" x14ac:dyDescent="0.3">
      <c r="A147" s="10"/>
      <c r="B147" s="10" t="s">
        <v>1032</v>
      </c>
      <c r="C147" s="10"/>
      <c r="D147" s="10"/>
      <c r="E147" s="10"/>
    </row>
    <row r="148" spans="1:5" x14ac:dyDescent="0.3">
      <c r="A148" s="10"/>
      <c r="B148" s="10" t="s">
        <v>1033</v>
      </c>
      <c r="C148" s="10"/>
      <c r="D148" s="10"/>
      <c r="E148" s="10"/>
    </row>
    <row r="149" spans="1:5" x14ac:dyDescent="0.3">
      <c r="A149" s="10"/>
      <c r="B149" s="10" t="s">
        <v>1034</v>
      </c>
      <c r="C149" s="10"/>
      <c r="D149" s="10"/>
      <c r="E149" s="10"/>
    </row>
    <row r="150" spans="1:5" x14ac:dyDescent="0.3">
      <c r="A150" s="10"/>
      <c r="B150" s="10" t="s">
        <v>1035</v>
      </c>
      <c r="C150" s="10"/>
      <c r="D150" s="10"/>
      <c r="E150" s="10"/>
    </row>
    <row r="151" spans="1:5" x14ac:dyDescent="0.3">
      <c r="A151" s="10"/>
      <c r="B151" s="10" t="s">
        <v>1036</v>
      </c>
      <c r="C151" s="10"/>
      <c r="D151" s="10"/>
      <c r="E151" s="10"/>
    </row>
    <row r="152" spans="1:5" x14ac:dyDescent="0.3">
      <c r="A152" s="10"/>
      <c r="B152" s="10" t="s">
        <v>1037</v>
      </c>
      <c r="C152" s="10"/>
      <c r="D152" s="10"/>
      <c r="E152" s="10"/>
    </row>
    <row r="153" spans="1:5" x14ac:dyDescent="0.3">
      <c r="A153" s="10"/>
      <c r="B153" s="10" t="s">
        <v>1038</v>
      </c>
      <c r="C153" s="10"/>
      <c r="D153" s="10"/>
      <c r="E153" s="10"/>
    </row>
    <row r="154" spans="1:5" x14ac:dyDescent="0.3">
      <c r="A154" s="10"/>
      <c r="B154" s="10" t="s">
        <v>1039</v>
      </c>
      <c r="C154" s="10"/>
      <c r="D154" s="10"/>
      <c r="E154" s="10"/>
    </row>
    <row r="155" spans="1:5" x14ac:dyDescent="0.3">
      <c r="A155" s="10"/>
      <c r="B155" s="10" t="s">
        <v>1040</v>
      </c>
      <c r="C155" s="10"/>
      <c r="D155" s="10"/>
      <c r="E155" s="10"/>
    </row>
    <row r="156" spans="1:5" x14ac:dyDescent="0.3">
      <c r="A156" s="10"/>
      <c r="B156" s="10" t="s">
        <v>1041</v>
      </c>
      <c r="C156" s="10"/>
      <c r="D156" s="10"/>
      <c r="E156" s="10"/>
    </row>
    <row r="157" spans="1:5" x14ac:dyDescent="0.3">
      <c r="A157" s="10"/>
      <c r="B157" s="10" t="s">
        <v>1042</v>
      </c>
      <c r="C157" s="10"/>
      <c r="D157" s="10"/>
      <c r="E157" s="10"/>
    </row>
    <row r="158" spans="1:5" x14ac:dyDescent="0.3">
      <c r="A158" s="10"/>
      <c r="B158" s="10" t="s">
        <v>1043</v>
      </c>
      <c r="C158" s="10"/>
      <c r="D158" s="10"/>
      <c r="E158" s="10"/>
    </row>
    <row r="159" spans="1:5" x14ac:dyDescent="0.3">
      <c r="A159" s="10"/>
      <c r="B159" s="10" t="s">
        <v>1044</v>
      </c>
      <c r="C159" s="10"/>
      <c r="D159" s="10"/>
      <c r="E159" s="10"/>
    </row>
    <row r="160" spans="1:5" x14ac:dyDescent="0.3">
      <c r="A160" s="10"/>
      <c r="B160" s="10" t="s">
        <v>1045</v>
      </c>
      <c r="C160" s="10"/>
      <c r="D160" s="10"/>
      <c r="E160" s="10"/>
    </row>
    <row r="161" spans="1:5" x14ac:dyDescent="0.3">
      <c r="A161" s="10"/>
      <c r="B161" s="10" t="s">
        <v>1046</v>
      </c>
      <c r="C161" s="10"/>
      <c r="D161" s="10"/>
      <c r="E161" s="10"/>
    </row>
    <row r="162" spans="1:5" x14ac:dyDescent="0.3">
      <c r="A162" s="10"/>
      <c r="B162" s="10" t="s">
        <v>1047</v>
      </c>
      <c r="C162" s="10"/>
      <c r="D162" s="10"/>
      <c r="E162" s="10"/>
    </row>
    <row r="163" spans="1:5" x14ac:dyDescent="0.3">
      <c r="A163" s="10"/>
      <c r="B163" s="10" t="s">
        <v>1048</v>
      </c>
      <c r="C163" s="10"/>
      <c r="D163" s="10"/>
      <c r="E163" s="10"/>
    </row>
    <row r="164" spans="1:5" x14ac:dyDescent="0.3">
      <c r="A164" s="10"/>
      <c r="B164" s="10" t="s">
        <v>1049</v>
      </c>
      <c r="C164" s="10"/>
      <c r="D164" s="10"/>
      <c r="E164" s="10"/>
    </row>
    <row r="165" spans="1:5" x14ac:dyDescent="0.3">
      <c r="A165" s="10"/>
      <c r="B165" s="10" t="s">
        <v>1050</v>
      </c>
      <c r="C165" s="10"/>
      <c r="D165" s="10"/>
      <c r="E165" s="10"/>
    </row>
    <row r="166" spans="1:5" x14ac:dyDescent="0.3">
      <c r="A166" s="10"/>
      <c r="B166" s="10" t="s">
        <v>1051</v>
      </c>
      <c r="C166" s="10"/>
      <c r="D166" s="10"/>
      <c r="E166" s="10"/>
    </row>
    <row r="167" spans="1:5" x14ac:dyDescent="0.3">
      <c r="A167" s="10"/>
      <c r="B167" s="10" t="s">
        <v>1052</v>
      </c>
      <c r="C167" s="10"/>
      <c r="D167" s="10"/>
      <c r="E167" s="10"/>
    </row>
    <row r="168" spans="1:5" x14ac:dyDescent="0.3">
      <c r="A168" s="10"/>
      <c r="B168" s="10" t="s">
        <v>1053</v>
      </c>
      <c r="C168" s="10"/>
      <c r="D168" s="10"/>
      <c r="E168" s="10"/>
    </row>
    <row r="169" spans="1:5" x14ac:dyDescent="0.3">
      <c r="A169" s="10"/>
      <c r="B169" s="10" t="s">
        <v>1054</v>
      </c>
      <c r="C169" s="10"/>
      <c r="D169" s="10"/>
      <c r="E169" s="10"/>
    </row>
    <row r="170" spans="1:5" x14ac:dyDescent="0.3">
      <c r="A170" s="10"/>
      <c r="B170" s="10" t="s">
        <v>1055</v>
      </c>
      <c r="C170" s="10"/>
      <c r="D170" s="10"/>
      <c r="E170" s="10"/>
    </row>
    <row r="171" spans="1:5" x14ac:dyDescent="0.3">
      <c r="A171" s="10"/>
      <c r="B171" s="10" t="s">
        <v>1056</v>
      </c>
      <c r="C171" s="10"/>
      <c r="D171" s="10"/>
      <c r="E171" s="10"/>
    </row>
    <row r="172" spans="1:5" x14ac:dyDescent="0.3">
      <c r="A172" s="10"/>
      <c r="B172" s="10" t="s">
        <v>1057</v>
      </c>
      <c r="C172" s="10"/>
      <c r="D172" s="10"/>
      <c r="E172" s="10"/>
    </row>
    <row r="173" spans="1:5" x14ac:dyDescent="0.3">
      <c r="A173" s="10"/>
      <c r="B173" s="10" t="s">
        <v>1058</v>
      </c>
      <c r="C173" s="10"/>
      <c r="D173" s="10"/>
      <c r="E173" s="10"/>
    </row>
    <row r="174" spans="1:5" x14ac:dyDescent="0.3">
      <c r="A174" s="10"/>
      <c r="B174" s="10" t="s">
        <v>1059</v>
      </c>
      <c r="C174" s="10"/>
      <c r="D174" s="10"/>
      <c r="E174" s="10"/>
    </row>
    <row r="175" spans="1:5" x14ac:dyDescent="0.3">
      <c r="A175" s="10"/>
      <c r="B175" s="10" t="s">
        <v>1060</v>
      </c>
      <c r="C175" s="10"/>
      <c r="D175" s="10"/>
      <c r="E175" s="10"/>
    </row>
    <row r="176" spans="1:5" x14ac:dyDescent="0.3">
      <c r="A176" s="10"/>
      <c r="B176" s="10" t="s">
        <v>1061</v>
      </c>
      <c r="C176" s="10"/>
      <c r="D176" s="10"/>
      <c r="E176" s="10"/>
    </row>
    <row r="177" spans="1:5" x14ac:dyDescent="0.3">
      <c r="A177" s="10"/>
      <c r="B177" s="10" t="s">
        <v>1062</v>
      </c>
      <c r="C177" s="10"/>
      <c r="D177" s="10"/>
      <c r="E177" s="10"/>
    </row>
    <row r="178" spans="1:5" x14ac:dyDescent="0.3">
      <c r="A178" s="10"/>
      <c r="B178" s="10" t="s">
        <v>1063</v>
      </c>
      <c r="C178" s="10"/>
      <c r="D178" s="10"/>
      <c r="E178" s="10"/>
    </row>
    <row r="179" spans="1:5" x14ac:dyDescent="0.3">
      <c r="A179" s="10"/>
      <c r="B179" s="10" t="s">
        <v>1064</v>
      </c>
      <c r="C179" s="10"/>
      <c r="D179" s="10"/>
      <c r="E179" s="10"/>
    </row>
    <row r="180" spans="1:5" x14ac:dyDescent="0.3">
      <c r="A180" s="10"/>
      <c r="B180" s="10" t="s">
        <v>1065</v>
      </c>
      <c r="C180" s="10"/>
      <c r="D180" s="10"/>
      <c r="E180" s="10"/>
    </row>
    <row r="181" spans="1:5" x14ac:dyDescent="0.3">
      <c r="A181" s="10"/>
      <c r="B181" s="10" t="s">
        <v>1066</v>
      </c>
      <c r="C181" s="10"/>
      <c r="D181" s="10"/>
      <c r="E181" s="10"/>
    </row>
    <row r="182" spans="1:5" x14ac:dyDescent="0.3">
      <c r="A182" s="10"/>
      <c r="B182" s="10" t="s">
        <v>1067</v>
      </c>
      <c r="C182" s="10"/>
      <c r="D182" s="10"/>
      <c r="E182" s="10"/>
    </row>
    <row r="183" spans="1:5" x14ac:dyDescent="0.3">
      <c r="A183" s="10"/>
      <c r="B183" s="10" t="s">
        <v>1068</v>
      </c>
      <c r="C183" s="10"/>
      <c r="D183" s="10"/>
      <c r="E183" s="10"/>
    </row>
    <row r="184" spans="1:5" x14ac:dyDescent="0.3">
      <c r="A184" s="10"/>
      <c r="B184" s="10" t="s">
        <v>1069</v>
      </c>
      <c r="C184" s="10"/>
      <c r="D184" s="10"/>
      <c r="E184" s="10"/>
    </row>
    <row r="185" spans="1:5" x14ac:dyDescent="0.3">
      <c r="A185" s="10"/>
      <c r="B185" s="10" t="s">
        <v>1070</v>
      </c>
      <c r="C185" s="10"/>
      <c r="D185" s="10"/>
      <c r="E185" s="10"/>
    </row>
    <row r="186" spans="1:5" x14ac:dyDescent="0.3">
      <c r="A186" s="10"/>
      <c r="B186" s="10" t="s">
        <v>1071</v>
      </c>
      <c r="C186" s="10"/>
      <c r="D186" s="10"/>
      <c r="E186" s="10"/>
    </row>
    <row r="187" spans="1:5" x14ac:dyDescent="0.3">
      <c r="A187" s="10"/>
      <c r="B187" s="10" t="s">
        <v>1072</v>
      </c>
      <c r="C187" s="10"/>
      <c r="D187" s="10"/>
      <c r="E187" s="10"/>
    </row>
    <row r="188" spans="1:5" x14ac:dyDescent="0.3">
      <c r="A188" s="10"/>
      <c r="B188" s="10" t="s">
        <v>1073</v>
      </c>
      <c r="C188" s="10"/>
      <c r="D188" s="10"/>
      <c r="E188" s="10"/>
    </row>
    <row r="189" spans="1:5" x14ac:dyDescent="0.3">
      <c r="A189" s="10"/>
      <c r="B189" s="10" t="s">
        <v>1074</v>
      </c>
      <c r="C189" s="10"/>
      <c r="D189" s="10"/>
      <c r="E189" s="10"/>
    </row>
    <row r="190" spans="1:5" x14ac:dyDescent="0.3">
      <c r="A190" s="10"/>
      <c r="B190" s="10" t="s">
        <v>1075</v>
      </c>
      <c r="C190" s="10"/>
      <c r="D190" s="10"/>
      <c r="E190" s="10"/>
    </row>
    <row r="191" spans="1:5" x14ac:dyDescent="0.3">
      <c r="A191" s="10"/>
      <c r="B191" s="10" t="s">
        <v>1076</v>
      </c>
      <c r="C191" s="10"/>
      <c r="D191" s="10"/>
      <c r="E191" s="10"/>
    </row>
    <row r="192" spans="1:5" x14ac:dyDescent="0.3">
      <c r="A192" s="10"/>
      <c r="B192" s="10" t="s">
        <v>1077</v>
      </c>
      <c r="C192" s="10"/>
      <c r="D192" s="10"/>
      <c r="E192" s="10"/>
    </row>
    <row r="193" spans="1:5" x14ac:dyDescent="0.3">
      <c r="A193" s="10"/>
      <c r="B193" s="10" t="s">
        <v>1078</v>
      </c>
      <c r="C193" s="10"/>
      <c r="D193" s="10"/>
      <c r="E193" s="10"/>
    </row>
    <row r="194" spans="1:5" x14ac:dyDescent="0.3">
      <c r="A194" s="10"/>
      <c r="B194" s="10" t="s">
        <v>1079</v>
      </c>
      <c r="C194" s="10"/>
      <c r="D194" s="10"/>
      <c r="E194" s="10"/>
    </row>
    <row r="195" spans="1:5" x14ac:dyDescent="0.3">
      <c r="A195" s="10"/>
      <c r="B195" s="10" t="s">
        <v>1080</v>
      </c>
      <c r="C195" s="10"/>
      <c r="D195" s="10"/>
      <c r="E195" s="10"/>
    </row>
    <row r="196" spans="1:5" x14ac:dyDescent="0.3">
      <c r="A196" s="10"/>
      <c r="B196" s="10" t="s">
        <v>1081</v>
      </c>
      <c r="C196" s="10"/>
      <c r="D196" s="10"/>
      <c r="E196" s="10"/>
    </row>
    <row r="197" spans="1:5" x14ac:dyDescent="0.3">
      <c r="A197" s="10"/>
      <c r="B197" s="10" t="s">
        <v>1082</v>
      </c>
      <c r="C197" s="10"/>
      <c r="D197" s="10"/>
      <c r="E197" s="10"/>
    </row>
    <row r="198" spans="1:5" x14ac:dyDescent="0.3">
      <c r="A198" s="10"/>
      <c r="B198" s="10" t="s">
        <v>1083</v>
      </c>
      <c r="C198" s="10"/>
      <c r="D198" s="10"/>
      <c r="E198" s="10"/>
    </row>
    <row r="199" spans="1:5" x14ac:dyDescent="0.3">
      <c r="A199" s="10"/>
      <c r="B199" s="10" t="s">
        <v>1084</v>
      </c>
      <c r="C199" s="10"/>
      <c r="D199" s="10"/>
      <c r="E199" s="10"/>
    </row>
    <row r="200" spans="1:5" x14ac:dyDescent="0.3">
      <c r="A200" s="10"/>
      <c r="B200" s="10" t="s">
        <v>1085</v>
      </c>
      <c r="C200" s="10"/>
      <c r="D200" s="10"/>
      <c r="E200" s="10"/>
    </row>
    <row r="201" spans="1:5" x14ac:dyDescent="0.3">
      <c r="A201" s="10"/>
      <c r="B201" s="10" t="s">
        <v>1086</v>
      </c>
      <c r="C201" s="10"/>
      <c r="D201" s="10"/>
      <c r="E201" s="10"/>
    </row>
    <row r="202" spans="1:5" x14ac:dyDescent="0.3">
      <c r="A202" s="10"/>
      <c r="B202" s="10" t="s">
        <v>1087</v>
      </c>
      <c r="C202" s="10"/>
      <c r="D202" s="10"/>
      <c r="E202" s="10"/>
    </row>
    <row r="203" spans="1:5" x14ac:dyDescent="0.3">
      <c r="A203" s="10"/>
      <c r="B203" s="10" t="s">
        <v>1088</v>
      </c>
      <c r="C203" s="10"/>
      <c r="D203" s="10"/>
      <c r="E203" s="10"/>
    </row>
    <row r="204" spans="1:5" x14ac:dyDescent="0.3">
      <c r="A204" s="10"/>
      <c r="B204" s="10" t="s">
        <v>1089</v>
      </c>
      <c r="C204" s="10"/>
      <c r="D204" s="10"/>
      <c r="E204" s="10"/>
    </row>
    <row r="205" spans="1:5" x14ac:dyDescent="0.3">
      <c r="A205" s="10"/>
      <c r="B205" s="10" t="s">
        <v>1090</v>
      </c>
      <c r="C205" s="10"/>
      <c r="D205" s="10"/>
      <c r="E205" s="10"/>
    </row>
    <row r="206" spans="1:5" x14ac:dyDescent="0.3">
      <c r="A206" s="10"/>
      <c r="B206" s="10" t="s">
        <v>1091</v>
      </c>
      <c r="C206" s="10"/>
      <c r="D206" s="10"/>
      <c r="E206" s="10"/>
    </row>
    <row r="207" spans="1:5" x14ac:dyDescent="0.3">
      <c r="A207" s="10"/>
      <c r="B207" s="10" t="s">
        <v>1092</v>
      </c>
      <c r="C207" s="10"/>
      <c r="D207" s="10"/>
      <c r="E207" s="10"/>
    </row>
    <row r="208" spans="1:5" x14ac:dyDescent="0.3">
      <c r="A208" s="10"/>
      <c r="B208" s="10" t="s">
        <v>1093</v>
      </c>
      <c r="C208" s="10"/>
      <c r="D208" s="10"/>
      <c r="E208" s="10"/>
    </row>
    <row r="209" spans="1:5" x14ac:dyDescent="0.3">
      <c r="A209" s="10"/>
      <c r="B209" s="10" t="s">
        <v>1094</v>
      </c>
      <c r="C209" s="10"/>
      <c r="D209" s="10"/>
      <c r="E209" s="10"/>
    </row>
    <row r="210" spans="1:5" x14ac:dyDescent="0.3">
      <c r="A210" s="10"/>
      <c r="B210" s="10" t="s">
        <v>1095</v>
      </c>
      <c r="C210" s="10"/>
      <c r="D210" s="10"/>
      <c r="E210" s="10"/>
    </row>
    <row r="211" spans="1:5" x14ac:dyDescent="0.3">
      <c r="A211" s="10"/>
      <c r="B211" s="10" t="s">
        <v>1096</v>
      </c>
      <c r="C211" s="10"/>
      <c r="D211" s="10"/>
      <c r="E211" s="10"/>
    </row>
    <row r="212" spans="1:5" x14ac:dyDescent="0.3">
      <c r="A212" s="10"/>
      <c r="B212" s="10" t="s">
        <v>1097</v>
      </c>
      <c r="C212" s="10"/>
      <c r="D212" s="10"/>
      <c r="E212" s="10"/>
    </row>
    <row r="213" spans="1:5" x14ac:dyDescent="0.3">
      <c r="A213" s="10"/>
      <c r="B213" s="10" t="s">
        <v>1098</v>
      </c>
      <c r="C213" s="10"/>
      <c r="D213" s="10"/>
      <c r="E213" s="10"/>
    </row>
    <row r="214" spans="1:5" x14ac:dyDescent="0.3">
      <c r="A214" s="10"/>
      <c r="B214" s="10" t="s">
        <v>1099</v>
      </c>
      <c r="C214" s="10"/>
      <c r="D214" s="10"/>
      <c r="E214" s="10"/>
    </row>
    <row r="215" spans="1:5" x14ac:dyDescent="0.3">
      <c r="A215" s="10"/>
      <c r="B215" s="10" t="s">
        <v>1100</v>
      </c>
      <c r="C215" s="10"/>
      <c r="D215" s="10"/>
      <c r="E215" s="10"/>
    </row>
    <row r="216" spans="1:5" x14ac:dyDescent="0.3">
      <c r="A216" s="10"/>
      <c r="B216" s="10" t="s">
        <v>1101</v>
      </c>
      <c r="C216" s="10"/>
      <c r="D216" s="10"/>
      <c r="E216" s="10"/>
    </row>
    <row r="217" spans="1:5" x14ac:dyDescent="0.3">
      <c r="A217" s="10"/>
      <c r="B217" s="10" t="s">
        <v>1102</v>
      </c>
      <c r="C217" s="10"/>
      <c r="D217" s="10"/>
      <c r="E217" s="10"/>
    </row>
    <row r="218" spans="1:5" x14ac:dyDescent="0.3">
      <c r="A218" s="10"/>
      <c r="B218" s="10" t="s">
        <v>1103</v>
      </c>
      <c r="C218" s="10"/>
      <c r="D218" s="10"/>
      <c r="E218" s="10"/>
    </row>
    <row r="219" spans="1:5" x14ac:dyDescent="0.3">
      <c r="A219" s="10"/>
      <c r="B219" s="10" t="s">
        <v>1104</v>
      </c>
      <c r="C219" s="10"/>
      <c r="D219" s="10"/>
      <c r="E219" s="10"/>
    </row>
    <row r="220" spans="1:5" x14ac:dyDescent="0.3">
      <c r="A220" s="10"/>
      <c r="B220" s="10" t="s">
        <v>1105</v>
      </c>
      <c r="C220" s="10"/>
      <c r="D220" s="10"/>
      <c r="E220" s="10"/>
    </row>
    <row r="221" spans="1:5" x14ac:dyDescent="0.3">
      <c r="A221" s="10"/>
      <c r="B221" s="10" t="s">
        <v>1106</v>
      </c>
      <c r="C221" s="10"/>
      <c r="D221" s="10"/>
      <c r="E221" s="10"/>
    </row>
    <row r="222" spans="1:5" x14ac:dyDescent="0.3">
      <c r="A222" s="10"/>
      <c r="B222" s="10" t="s">
        <v>1107</v>
      </c>
      <c r="C222" s="10"/>
      <c r="D222" s="10"/>
      <c r="E222" s="10"/>
    </row>
    <row r="223" spans="1:5" x14ac:dyDescent="0.3">
      <c r="A223" s="10"/>
      <c r="B223" s="10" t="s">
        <v>1108</v>
      </c>
      <c r="C223" s="10"/>
      <c r="D223" s="10"/>
      <c r="E223" s="10"/>
    </row>
    <row r="224" spans="1:5" x14ac:dyDescent="0.3">
      <c r="A224" s="10"/>
      <c r="B224" s="10" t="s">
        <v>1109</v>
      </c>
      <c r="C224" s="10"/>
      <c r="D224" s="10"/>
      <c r="E224" s="10"/>
    </row>
    <row r="225" spans="1:5" x14ac:dyDescent="0.3">
      <c r="A225" s="10"/>
      <c r="B225" s="10" t="s">
        <v>1110</v>
      </c>
      <c r="C225" s="10"/>
      <c r="D225" s="10"/>
      <c r="E225" s="10"/>
    </row>
    <row r="226" spans="1:5" x14ac:dyDescent="0.3">
      <c r="A226" s="10"/>
      <c r="B226" s="10" t="s">
        <v>1111</v>
      </c>
      <c r="C226" s="10"/>
      <c r="D226" s="10"/>
      <c r="E226" s="10"/>
    </row>
    <row r="227" spans="1:5" x14ac:dyDescent="0.3">
      <c r="A227" s="10"/>
      <c r="B227" s="10" t="s">
        <v>1112</v>
      </c>
      <c r="C227" s="10"/>
      <c r="D227" s="10"/>
      <c r="E227" s="10"/>
    </row>
    <row r="228" spans="1:5" x14ac:dyDescent="0.3">
      <c r="A228" s="10"/>
      <c r="B228" s="10" t="s">
        <v>1113</v>
      </c>
      <c r="C228" s="10"/>
      <c r="D228" s="10"/>
      <c r="E228" s="10"/>
    </row>
    <row r="229" spans="1:5" x14ac:dyDescent="0.3">
      <c r="A229" s="10"/>
      <c r="B229" s="10" t="s">
        <v>1114</v>
      </c>
      <c r="C229" s="10"/>
      <c r="D229" s="10"/>
      <c r="E229" s="10"/>
    </row>
    <row r="230" spans="1:5" x14ac:dyDescent="0.3">
      <c r="A230" s="10"/>
      <c r="B230" s="10" t="s">
        <v>1115</v>
      </c>
      <c r="C230" s="10"/>
      <c r="D230" s="10"/>
      <c r="E230" s="10"/>
    </row>
    <row r="231" spans="1:5" x14ac:dyDescent="0.3">
      <c r="A231" s="10"/>
      <c r="B231" s="10" t="s">
        <v>1116</v>
      </c>
      <c r="C231" s="10"/>
      <c r="D231" s="10"/>
      <c r="E231" s="10"/>
    </row>
    <row r="232" spans="1:5" x14ac:dyDescent="0.3">
      <c r="A232" s="10"/>
      <c r="B232" s="10" t="s">
        <v>1117</v>
      </c>
      <c r="C232" s="10"/>
      <c r="D232" s="10"/>
      <c r="E232" s="10"/>
    </row>
    <row r="233" spans="1:5" x14ac:dyDescent="0.3">
      <c r="A233" s="10"/>
      <c r="B233" s="10" t="s">
        <v>1118</v>
      </c>
      <c r="C233" s="10"/>
      <c r="D233" s="10"/>
      <c r="E233" s="10"/>
    </row>
    <row r="234" spans="1:5" x14ac:dyDescent="0.3">
      <c r="A234" s="10"/>
      <c r="B234" s="10" t="s">
        <v>1119</v>
      </c>
      <c r="C234" s="10"/>
      <c r="D234" s="10"/>
      <c r="E234" s="10"/>
    </row>
    <row r="235" spans="1:5" x14ac:dyDescent="0.3">
      <c r="A235" s="10"/>
      <c r="B235" s="10" t="s">
        <v>1120</v>
      </c>
      <c r="C235" s="10"/>
      <c r="D235" s="10"/>
      <c r="E235" s="10"/>
    </row>
    <row r="236" spans="1:5" x14ac:dyDescent="0.3">
      <c r="A236" s="10"/>
      <c r="B236" s="10" t="s">
        <v>1121</v>
      </c>
      <c r="C236" s="10"/>
      <c r="D236" s="10"/>
      <c r="E236" s="10"/>
    </row>
    <row r="237" spans="1:5" x14ac:dyDescent="0.3">
      <c r="A237" s="10"/>
      <c r="B237" s="10" t="s">
        <v>1122</v>
      </c>
      <c r="C237" s="10"/>
      <c r="D237" s="10"/>
      <c r="E237" s="10"/>
    </row>
    <row r="238" spans="1:5" x14ac:dyDescent="0.3">
      <c r="A238" s="10"/>
      <c r="B238" s="10" t="s">
        <v>1123</v>
      </c>
      <c r="C238" s="10"/>
      <c r="D238" s="10"/>
      <c r="E238" s="10"/>
    </row>
    <row r="239" spans="1:5" x14ac:dyDescent="0.3">
      <c r="A239" s="10"/>
      <c r="B239" s="10" t="s">
        <v>1124</v>
      </c>
      <c r="C239" s="10"/>
      <c r="D239" s="10"/>
      <c r="E239" s="10"/>
    </row>
    <row r="240" spans="1:5" x14ac:dyDescent="0.3">
      <c r="A240" s="10"/>
      <c r="B240" s="10" t="s">
        <v>1125</v>
      </c>
      <c r="C240" s="10"/>
      <c r="D240" s="10"/>
      <c r="E240" s="10"/>
    </row>
    <row r="241" spans="1:5" x14ac:dyDescent="0.3">
      <c r="A241" s="10"/>
      <c r="B241" s="10" t="s">
        <v>1126</v>
      </c>
      <c r="C241" s="10"/>
      <c r="D241" s="10"/>
      <c r="E241" s="10"/>
    </row>
    <row r="242" spans="1:5" x14ac:dyDescent="0.3">
      <c r="A242" s="10"/>
      <c r="B242" s="10" t="s">
        <v>1127</v>
      </c>
      <c r="C242" s="10"/>
      <c r="D242" s="10"/>
      <c r="E242" s="10"/>
    </row>
    <row r="243" spans="1:5" x14ac:dyDescent="0.3">
      <c r="A243" s="10"/>
      <c r="B243" s="10" t="s">
        <v>1128</v>
      </c>
      <c r="C243" s="10"/>
      <c r="D243" s="10"/>
      <c r="E243" s="10"/>
    </row>
    <row r="244" spans="1:5" x14ac:dyDescent="0.3">
      <c r="A244" s="10"/>
      <c r="B244" s="10" t="s">
        <v>1129</v>
      </c>
      <c r="C244" s="10"/>
      <c r="D244" s="10"/>
      <c r="E244" s="10"/>
    </row>
    <row r="245" spans="1:5" x14ac:dyDescent="0.3">
      <c r="A245" s="10"/>
      <c r="B245" s="10" t="s">
        <v>1130</v>
      </c>
      <c r="C245" s="10"/>
      <c r="D245" s="10"/>
      <c r="E245" s="10"/>
    </row>
    <row r="246" spans="1:5" x14ac:dyDescent="0.3">
      <c r="A246" s="10"/>
      <c r="B246" s="10" t="s">
        <v>1131</v>
      </c>
      <c r="C246" s="10"/>
      <c r="D246" s="10"/>
      <c r="E246" s="10"/>
    </row>
    <row r="247" spans="1:5" x14ac:dyDescent="0.3">
      <c r="A247" s="10"/>
      <c r="B247" s="10" t="s">
        <v>1132</v>
      </c>
      <c r="C247" s="10"/>
      <c r="D247" s="10"/>
      <c r="E247" s="10"/>
    </row>
    <row r="248" spans="1:5" x14ac:dyDescent="0.3">
      <c r="A248" s="10"/>
      <c r="B248" s="10" t="s">
        <v>1133</v>
      </c>
      <c r="C248" s="10"/>
      <c r="D248" s="10"/>
      <c r="E248" s="10"/>
    </row>
    <row r="249" spans="1:5" x14ac:dyDescent="0.3">
      <c r="A249" s="10"/>
      <c r="B249" s="10" t="s">
        <v>1134</v>
      </c>
      <c r="C249" s="10"/>
      <c r="D249" s="10"/>
      <c r="E249" s="10"/>
    </row>
    <row r="250" spans="1:5" x14ac:dyDescent="0.3">
      <c r="A250" s="10"/>
      <c r="B250" s="10" t="s">
        <v>1135</v>
      </c>
      <c r="C250" s="10"/>
      <c r="D250" s="10"/>
      <c r="E250" s="10"/>
    </row>
    <row r="251" spans="1:5" x14ac:dyDescent="0.3">
      <c r="A251" s="10"/>
      <c r="B251" s="10" t="s">
        <v>1136</v>
      </c>
      <c r="C251" s="10"/>
      <c r="D251" s="10"/>
      <c r="E251" s="10"/>
    </row>
    <row r="252" spans="1:5" x14ac:dyDescent="0.3">
      <c r="A252" s="10"/>
      <c r="B252" s="10" t="s">
        <v>1137</v>
      </c>
      <c r="C252" s="10"/>
      <c r="D252" s="10"/>
      <c r="E252" s="10"/>
    </row>
    <row r="253" spans="1:5" x14ac:dyDescent="0.3">
      <c r="A253" s="10"/>
      <c r="B253" s="10" t="s">
        <v>1138</v>
      </c>
      <c r="C253" s="10"/>
      <c r="D253" s="10"/>
      <c r="E253" s="10"/>
    </row>
    <row r="254" spans="1:5" x14ac:dyDescent="0.3">
      <c r="A254" s="10"/>
      <c r="B254" s="10" t="s">
        <v>1139</v>
      </c>
      <c r="C254" s="10"/>
      <c r="D254" s="10"/>
      <c r="E254" s="10"/>
    </row>
    <row r="255" spans="1:5" x14ac:dyDescent="0.3">
      <c r="A255" s="10"/>
      <c r="B255" s="10" t="s">
        <v>1140</v>
      </c>
      <c r="C255" s="10"/>
      <c r="D255" s="10"/>
      <c r="E255" s="10"/>
    </row>
    <row r="256" spans="1:5" x14ac:dyDescent="0.3">
      <c r="A256" s="10"/>
      <c r="B256" s="10" t="s">
        <v>1141</v>
      </c>
      <c r="C256" s="10"/>
      <c r="D256" s="10"/>
      <c r="E256" s="10"/>
    </row>
    <row r="257" spans="1:5" x14ac:dyDescent="0.3">
      <c r="A257" s="10"/>
      <c r="B257" s="10" t="s">
        <v>1142</v>
      </c>
      <c r="C257" s="10"/>
      <c r="D257" s="10"/>
      <c r="E257" s="10"/>
    </row>
    <row r="258" spans="1:5" x14ac:dyDescent="0.3">
      <c r="A258" s="10"/>
      <c r="B258" s="10" t="s">
        <v>1143</v>
      </c>
      <c r="C258" s="10"/>
      <c r="D258" s="10"/>
      <c r="E258" s="10"/>
    </row>
    <row r="259" spans="1:5" x14ac:dyDescent="0.3">
      <c r="A259" s="10"/>
      <c r="B259" s="10" t="s">
        <v>1144</v>
      </c>
      <c r="C259" s="10"/>
      <c r="D259" s="10"/>
      <c r="E259" s="10"/>
    </row>
    <row r="260" spans="1:5" x14ac:dyDescent="0.3">
      <c r="A260" s="10"/>
      <c r="B260" s="10" t="s">
        <v>1145</v>
      </c>
      <c r="C260" s="10"/>
      <c r="D260" s="10"/>
      <c r="E260" s="10"/>
    </row>
    <row r="261" spans="1:5" x14ac:dyDescent="0.3">
      <c r="A261" s="10"/>
      <c r="B261" s="10" t="s">
        <v>1146</v>
      </c>
      <c r="C261" s="10"/>
      <c r="D261" s="10"/>
      <c r="E261" s="10"/>
    </row>
    <row r="262" spans="1:5" x14ac:dyDescent="0.3">
      <c r="A262" s="10"/>
      <c r="B262" s="10" t="s">
        <v>1147</v>
      </c>
      <c r="C262" s="10"/>
      <c r="D262" s="10"/>
      <c r="E262" s="10"/>
    </row>
    <row r="263" spans="1:5" x14ac:dyDescent="0.3">
      <c r="A263" s="10"/>
      <c r="B263" s="10" t="s">
        <v>1148</v>
      </c>
      <c r="C263" s="10"/>
      <c r="D263" s="10"/>
      <c r="E263" s="10"/>
    </row>
    <row r="264" spans="1:5" x14ac:dyDescent="0.3">
      <c r="A264" s="10"/>
      <c r="B264" s="10" t="s">
        <v>1149</v>
      </c>
      <c r="C264" s="10"/>
      <c r="D264" s="10"/>
      <c r="E264" s="10"/>
    </row>
    <row r="265" spans="1:5" x14ac:dyDescent="0.3">
      <c r="A265" s="10"/>
      <c r="B265" s="10" t="s">
        <v>1150</v>
      </c>
      <c r="C265" s="10"/>
      <c r="D265" s="10"/>
      <c r="E265" s="10"/>
    </row>
    <row r="266" spans="1:5" x14ac:dyDescent="0.3">
      <c r="A266" s="10"/>
      <c r="B266" s="10" t="s">
        <v>1151</v>
      </c>
      <c r="C266" s="10"/>
      <c r="D266" s="10"/>
      <c r="E266" s="10"/>
    </row>
    <row r="267" spans="1:5" x14ac:dyDescent="0.3">
      <c r="A267" s="10"/>
      <c r="B267" s="10" t="s">
        <v>1152</v>
      </c>
      <c r="C267" s="10"/>
      <c r="D267" s="10"/>
      <c r="E267" s="10"/>
    </row>
    <row r="268" spans="1:5" x14ac:dyDescent="0.3">
      <c r="A268" s="10"/>
      <c r="B268" s="10" t="s">
        <v>1153</v>
      </c>
      <c r="C268" s="10"/>
      <c r="D268" s="10"/>
      <c r="E268" s="10"/>
    </row>
    <row r="269" spans="1:5" x14ac:dyDescent="0.3">
      <c r="A269" s="10"/>
      <c r="B269" s="10" t="s">
        <v>1154</v>
      </c>
      <c r="C269" s="10"/>
      <c r="D269" s="10"/>
      <c r="E269" s="10"/>
    </row>
    <row r="270" spans="1:5" x14ac:dyDescent="0.3">
      <c r="A270" s="10"/>
      <c r="B270" s="10" t="s">
        <v>1155</v>
      </c>
      <c r="C270" s="10"/>
      <c r="D270" s="10"/>
      <c r="E270" s="10"/>
    </row>
    <row r="271" spans="1:5" x14ac:dyDescent="0.3">
      <c r="A271" s="10"/>
      <c r="B271" s="10" t="s">
        <v>1156</v>
      </c>
      <c r="C271" s="10"/>
      <c r="D271" s="10"/>
      <c r="E271" s="10"/>
    </row>
    <row r="272" spans="1:5" x14ac:dyDescent="0.3">
      <c r="A272" s="10"/>
      <c r="B272" s="10" t="s">
        <v>1157</v>
      </c>
      <c r="C272" s="10"/>
      <c r="D272" s="10"/>
      <c r="E272" s="10"/>
    </row>
    <row r="273" spans="1:5" x14ac:dyDescent="0.3">
      <c r="A273" s="10"/>
      <c r="B273" s="10" t="s">
        <v>1158</v>
      </c>
      <c r="C273" s="10"/>
      <c r="D273" s="10"/>
      <c r="E273" s="10"/>
    </row>
    <row r="274" spans="1:5" x14ac:dyDescent="0.3">
      <c r="A274" s="10"/>
      <c r="B274" s="10" t="s">
        <v>1159</v>
      </c>
      <c r="C274" s="10"/>
      <c r="D274" s="10"/>
      <c r="E274" s="10"/>
    </row>
    <row r="275" spans="1:5" x14ac:dyDescent="0.3">
      <c r="A275" s="10"/>
      <c r="B275" s="10" t="s">
        <v>1160</v>
      </c>
      <c r="C275" s="10"/>
      <c r="D275" s="10"/>
      <c r="E275" s="10"/>
    </row>
    <row r="276" spans="1:5" x14ac:dyDescent="0.3">
      <c r="A276" s="10"/>
      <c r="B276" s="10" t="s">
        <v>1161</v>
      </c>
      <c r="C276" s="10"/>
      <c r="D276" s="10"/>
      <c r="E276" s="10"/>
    </row>
    <row r="277" spans="1:5" x14ac:dyDescent="0.3">
      <c r="A277" s="10"/>
      <c r="B277" s="10" t="s">
        <v>1162</v>
      </c>
      <c r="C277" s="10"/>
      <c r="D277" s="10"/>
      <c r="E277" s="10"/>
    </row>
    <row r="278" spans="1:5" x14ac:dyDescent="0.3">
      <c r="A278" s="10"/>
      <c r="B278" s="10" t="s">
        <v>1163</v>
      </c>
      <c r="C278" s="10"/>
      <c r="D278" s="10"/>
      <c r="E278" s="10"/>
    </row>
    <row r="279" spans="1:5" x14ac:dyDescent="0.3">
      <c r="A279" s="10"/>
      <c r="B279" s="10" t="s">
        <v>1164</v>
      </c>
      <c r="C279" s="10"/>
      <c r="D279" s="10"/>
      <c r="E279" s="10"/>
    </row>
    <row r="280" spans="1:5" x14ac:dyDescent="0.3">
      <c r="A280" s="10"/>
      <c r="B280" s="10" t="s">
        <v>1165</v>
      </c>
      <c r="C280" s="10"/>
      <c r="D280" s="10"/>
      <c r="E280" s="10"/>
    </row>
    <row r="281" spans="1:5" x14ac:dyDescent="0.3">
      <c r="A281" s="10"/>
      <c r="B281" s="10" t="s">
        <v>1166</v>
      </c>
      <c r="C281" s="10"/>
      <c r="D281" s="10"/>
      <c r="E281" s="10"/>
    </row>
    <row r="282" spans="1:5" x14ac:dyDescent="0.3">
      <c r="A282" s="10"/>
      <c r="B282" s="10" t="s">
        <v>1167</v>
      </c>
      <c r="C282" s="10"/>
      <c r="D282" s="10"/>
      <c r="E282" s="10"/>
    </row>
    <row r="283" spans="1:5" x14ac:dyDescent="0.3">
      <c r="A283" s="10"/>
      <c r="B283" s="10" t="s">
        <v>1168</v>
      </c>
      <c r="C283" s="10"/>
      <c r="D283" s="10"/>
      <c r="E283" s="10"/>
    </row>
    <row r="284" spans="1:5" x14ac:dyDescent="0.3">
      <c r="A284" s="10"/>
      <c r="B284" s="10" t="s">
        <v>1169</v>
      </c>
      <c r="C284" s="10"/>
      <c r="D284" s="10"/>
      <c r="E284" s="10"/>
    </row>
    <row r="285" spans="1:5" x14ac:dyDescent="0.3">
      <c r="A285" s="10"/>
      <c r="B285" s="10" t="s">
        <v>1170</v>
      </c>
      <c r="C285" s="10"/>
      <c r="D285" s="10"/>
      <c r="E285" s="10"/>
    </row>
    <row r="286" spans="1:5" x14ac:dyDescent="0.3">
      <c r="A286" s="10"/>
      <c r="B286" s="10" t="s">
        <v>1171</v>
      </c>
      <c r="C286" s="10"/>
      <c r="D286" s="10"/>
      <c r="E286" s="10"/>
    </row>
    <row r="287" spans="1:5" x14ac:dyDescent="0.3">
      <c r="A287" s="10"/>
      <c r="B287" s="10" t="s">
        <v>1172</v>
      </c>
      <c r="C287" s="10"/>
      <c r="D287" s="10"/>
      <c r="E287" s="10"/>
    </row>
    <row r="288" spans="1:5" x14ac:dyDescent="0.3">
      <c r="A288" s="10"/>
      <c r="B288" s="10" t="s">
        <v>1173</v>
      </c>
      <c r="C288" s="10"/>
      <c r="D288" s="10"/>
      <c r="E288" s="10"/>
    </row>
    <row r="289" spans="1:5" x14ac:dyDescent="0.3">
      <c r="A289" s="10"/>
      <c r="B289" s="10" t="s">
        <v>1174</v>
      </c>
      <c r="C289" s="10"/>
      <c r="D289" s="10"/>
      <c r="E289" s="10"/>
    </row>
    <row r="290" spans="1:5" x14ac:dyDescent="0.3">
      <c r="A290" s="10"/>
      <c r="B290" s="10" t="s">
        <v>1175</v>
      </c>
      <c r="C290" s="10"/>
      <c r="D290" s="10"/>
      <c r="E290" s="10"/>
    </row>
    <row r="291" spans="1:5" x14ac:dyDescent="0.3">
      <c r="A291" s="10"/>
      <c r="B291" s="10" t="s">
        <v>1176</v>
      </c>
      <c r="C291" s="10"/>
      <c r="D291" s="10"/>
      <c r="E291" s="10"/>
    </row>
    <row r="292" spans="1:5" x14ac:dyDescent="0.3">
      <c r="A292" s="10"/>
      <c r="B292" s="10" t="s">
        <v>1177</v>
      </c>
      <c r="C292" s="10"/>
      <c r="D292" s="10"/>
      <c r="E292" s="10"/>
    </row>
    <row r="293" spans="1:5" x14ac:dyDescent="0.3">
      <c r="A293" s="10"/>
      <c r="B293" s="10" t="s">
        <v>1178</v>
      </c>
      <c r="C293" s="10"/>
      <c r="D293" s="10"/>
      <c r="E293" s="10"/>
    </row>
    <row r="294" spans="1:5" x14ac:dyDescent="0.3">
      <c r="A294" s="10"/>
      <c r="B294" s="10" t="s">
        <v>1179</v>
      </c>
      <c r="C294" s="10"/>
      <c r="D294" s="10"/>
      <c r="E294" s="10"/>
    </row>
    <row r="295" spans="1:5" x14ac:dyDescent="0.3">
      <c r="A295" s="10"/>
      <c r="B295" s="10" t="s">
        <v>1180</v>
      </c>
      <c r="C295" s="10"/>
      <c r="D295" s="10"/>
      <c r="E295" s="10"/>
    </row>
    <row r="296" spans="1:5" x14ac:dyDescent="0.3">
      <c r="A296" s="10"/>
      <c r="B296" s="10" t="s">
        <v>1181</v>
      </c>
      <c r="C296" s="10"/>
      <c r="D296" s="10"/>
      <c r="E296" s="10"/>
    </row>
    <row r="297" spans="1:5" x14ac:dyDescent="0.3">
      <c r="A297" s="10"/>
      <c r="B297" s="10" t="s">
        <v>1182</v>
      </c>
      <c r="C297" s="10"/>
      <c r="D297" s="10"/>
      <c r="E297" s="10"/>
    </row>
    <row r="298" spans="1:5" x14ac:dyDescent="0.3">
      <c r="A298" s="10"/>
      <c r="B298" s="10" t="s">
        <v>1183</v>
      </c>
      <c r="C298" s="10"/>
      <c r="D298" s="10"/>
      <c r="E298" s="10"/>
    </row>
    <row r="299" spans="1:5" x14ac:dyDescent="0.3">
      <c r="A299" s="10"/>
      <c r="B299" s="10" t="s">
        <v>1184</v>
      </c>
      <c r="C299" s="10"/>
      <c r="D299" s="10"/>
      <c r="E299" s="10"/>
    </row>
    <row r="300" spans="1:5" x14ac:dyDescent="0.3">
      <c r="A300" s="10"/>
      <c r="B300" s="10" t="s">
        <v>1185</v>
      </c>
      <c r="C300" s="10"/>
      <c r="D300" s="10"/>
      <c r="E300" s="10"/>
    </row>
    <row r="301" spans="1:5" x14ac:dyDescent="0.3">
      <c r="A301" s="10"/>
      <c r="B301" s="10" t="s">
        <v>1186</v>
      </c>
      <c r="C301" s="10"/>
      <c r="D301" s="10"/>
      <c r="E301" s="10"/>
    </row>
    <row r="302" spans="1:5" x14ac:dyDescent="0.3">
      <c r="A302" s="10"/>
      <c r="B302" s="10" t="s">
        <v>1187</v>
      </c>
      <c r="C302" s="10"/>
      <c r="D302" s="10"/>
      <c r="E302" s="10"/>
    </row>
    <row r="303" spans="1:5" x14ac:dyDescent="0.3">
      <c r="A303" s="10"/>
      <c r="B303" s="10" t="s">
        <v>1188</v>
      </c>
      <c r="C303" s="10"/>
      <c r="D303" s="10"/>
      <c r="E303" s="10"/>
    </row>
    <row r="304" spans="1:5" x14ac:dyDescent="0.3">
      <c r="A304" s="10"/>
      <c r="B304" s="10" t="s">
        <v>1189</v>
      </c>
      <c r="C304" s="10"/>
      <c r="D304" s="10"/>
      <c r="E304" s="10"/>
    </row>
    <row r="305" spans="1:5" x14ac:dyDescent="0.3">
      <c r="A305" s="10"/>
      <c r="B305" s="10" t="s">
        <v>1190</v>
      </c>
      <c r="C305" s="10"/>
      <c r="D305" s="10"/>
      <c r="E305" s="10"/>
    </row>
    <row r="306" spans="1:5" x14ac:dyDescent="0.3">
      <c r="A306" s="10"/>
      <c r="B306" s="10" t="s">
        <v>1191</v>
      </c>
      <c r="C306" s="10"/>
      <c r="D306" s="10"/>
      <c r="E306" s="10"/>
    </row>
    <row r="307" spans="1:5" x14ac:dyDescent="0.3">
      <c r="A307" s="10"/>
      <c r="B307" s="10" t="s">
        <v>1192</v>
      </c>
      <c r="C307" s="10"/>
      <c r="D307" s="10"/>
      <c r="E307" s="10"/>
    </row>
    <row r="308" spans="1:5" x14ac:dyDescent="0.3">
      <c r="A308" s="10"/>
      <c r="B308" s="10" t="s">
        <v>1193</v>
      </c>
      <c r="C308" s="10"/>
      <c r="D308" s="10"/>
      <c r="E308" s="10"/>
    </row>
    <row r="309" spans="1:5" x14ac:dyDescent="0.3">
      <c r="A309" s="10"/>
      <c r="B309" s="10" t="s">
        <v>1194</v>
      </c>
      <c r="C309" s="10"/>
      <c r="D309" s="10"/>
      <c r="E309" s="10"/>
    </row>
    <row r="310" spans="1:5" x14ac:dyDescent="0.3">
      <c r="A310" s="10"/>
      <c r="B310" s="10" t="s">
        <v>1195</v>
      </c>
      <c r="C310" s="10"/>
      <c r="D310" s="10"/>
      <c r="E310" s="10"/>
    </row>
    <row r="311" spans="1:5" x14ac:dyDescent="0.3">
      <c r="A311" s="10"/>
      <c r="B311" s="10" t="s">
        <v>1196</v>
      </c>
      <c r="C311" s="10"/>
      <c r="D311" s="10"/>
      <c r="E311" s="10"/>
    </row>
    <row r="312" spans="1:5" x14ac:dyDescent="0.3">
      <c r="A312" s="10"/>
      <c r="B312" s="10" t="s">
        <v>1197</v>
      </c>
      <c r="C312" s="10"/>
      <c r="D312" s="10"/>
      <c r="E312" s="10"/>
    </row>
    <row r="313" spans="1:5" x14ac:dyDescent="0.3">
      <c r="A313" s="10"/>
      <c r="B313" s="10" t="s">
        <v>1198</v>
      </c>
      <c r="C313" s="10"/>
      <c r="D313" s="10"/>
      <c r="E313" s="10"/>
    </row>
    <row r="314" spans="1:5" x14ac:dyDescent="0.3">
      <c r="A314" s="10"/>
      <c r="B314" s="10" t="s">
        <v>1199</v>
      </c>
      <c r="C314" s="10"/>
      <c r="D314" s="10"/>
      <c r="E314" s="10"/>
    </row>
    <row r="315" spans="1:5" x14ac:dyDescent="0.3">
      <c r="A315" s="10"/>
      <c r="B315" s="10" t="s">
        <v>1200</v>
      </c>
      <c r="C315" s="10"/>
      <c r="D315" s="10"/>
      <c r="E315" s="10"/>
    </row>
    <row r="316" spans="1:5" x14ac:dyDescent="0.3">
      <c r="A316" s="10"/>
      <c r="B316" s="10" t="s">
        <v>1201</v>
      </c>
      <c r="C316" s="10"/>
      <c r="D316" s="10"/>
      <c r="E316" s="10"/>
    </row>
    <row r="317" spans="1:5" x14ac:dyDescent="0.3">
      <c r="A317" s="10"/>
      <c r="B317" s="10" t="s">
        <v>1202</v>
      </c>
      <c r="C317" s="10"/>
      <c r="D317" s="10"/>
      <c r="E317" s="10"/>
    </row>
    <row r="318" spans="1:5" x14ac:dyDescent="0.3">
      <c r="A318" s="10"/>
      <c r="B318" s="10" t="s">
        <v>1203</v>
      </c>
      <c r="C318" s="10"/>
      <c r="D318" s="10"/>
      <c r="E318" s="10"/>
    </row>
    <row r="319" spans="1:5" x14ac:dyDescent="0.3">
      <c r="A319" s="10"/>
      <c r="B319" s="10" t="s">
        <v>1204</v>
      </c>
      <c r="C319" s="10"/>
      <c r="D319" s="10"/>
      <c r="E319" s="10"/>
    </row>
    <row r="320" spans="1:5" x14ac:dyDescent="0.3">
      <c r="A320" s="10"/>
      <c r="B320" s="10" t="s">
        <v>1205</v>
      </c>
      <c r="C320" s="10"/>
      <c r="D320" s="10"/>
      <c r="E320" s="10"/>
    </row>
    <row r="321" spans="1:5" x14ac:dyDescent="0.3">
      <c r="A321" s="10"/>
      <c r="B321" s="10" t="s">
        <v>1206</v>
      </c>
      <c r="C321" s="10"/>
      <c r="D321" s="10"/>
      <c r="E321" s="10"/>
    </row>
    <row r="322" spans="1:5" x14ac:dyDescent="0.3">
      <c r="A322" s="10"/>
      <c r="B322" s="10" t="s">
        <v>1207</v>
      </c>
      <c r="C322" s="10"/>
      <c r="D322" s="10"/>
      <c r="E322" s="10"/>
    </row>
    <row r="323" spans="1:5" x14ac:dyDescent="0.3">
      <c r="A323" s="10"/>
      <c r="B323" s="10" t="s">
        <v>1208</v>
      </c>
      <c r="C323" s="10"/>
      <c r="D323" s="10"/>
      <c r="E323" s="10"/>
    </row>
    <row r="324" spans="1:5" x14ac:dyDescent="0.3">
      <c r="A324" s="10"/>
      <c r="B324" s="10" t="s">
        <v>1209</v>
      </c>
      <c r="C324" s="10"/>
      <c r="D324" s="10"/>
      <c r="E324" s="10"/>
    </row>
    <row r="325" spans="1:5" x14ac:dyDescent="0.3">
      <c r="A325" s="10"/>
      <c r="B325" s="10" t="s">
        <v>1210</v>
      </c>
      <c r="C325" s="10"/>
      <c r="D325" s="10"/>
      <c r="E325" s="10"/>
    </row>
    <row r="326" spans="1:5" x14ac:dyDescent="0.3">
      <c r="A326" s="10"/>
      <c r="B326" s="10" t="s">
        <v>1211</v>
      </c>
      <c r="C326" s="10"/>
      <c r="D326" s="10"/>
      <c r="E326" s="10"/>
    </row>
    <row r="327" spans="1:5" x14ac:dyDescent="0.3">
      <c r="A327" s="10"/>
      <c r="B327" s="10" t="s">
        <v>1212</v>
      </c>
      <c r="C327" s="10"/>
      <c r="D327" s="10"/>
      <c r="E327" s="10"/>
    </row>
    <row r="328" spans="1:5" x14ac:dyDescent="0.3">
      <c r="A328" s="10"/>
      <c r="B328" s="10" t="s">
        <v>1213</v>
      </c>
      <c r="C328" s="10"/>
      <c r="D328" s="10"/>
      <c r="E328" s="10"/>
    </row>
    <row r="329" spans="1:5" x14ac:dyDescent="0.3">
      <c r="A329" s="10"/>
      <c r="B329" s="10" t="s">
        <v>1214</v>
      </c>
      <c r="C329" s="10"/>
      <c r="D329" s="10"/>
      <c r="E329" s="10"/>
    </row>
    <row r="330" spans="1:5" x14ac:dyDescent="0.3">
      <c r="A330" s="10"/>
      <c r="B330" s="10" t="s">
        <v>1215</v>
      </c>
      <c r="C330" s="10"/>
      <c r="D330" s="10"/>
      <c r="E330" s="10"/>
    </row>
    <row r="331" spans="1:5" x14ac:dyDescent="0.3">
      <c r="A331" s="10"/>
      <c r="B331" s="10" t="s">
        <v>1216</v>
      </c>
      <c r="C331" s="10"/>
      <c r="D331" s="10"/>
      <c r="E331" s="10"/>
    </row>
    <row r="332" spans="1:5" x14ac:dyDescent="0.3">
      <c r="A332" s="10"/>
      <c r="B332" s="10" t="s">
        <v>1217</v>
      </c>
      <c r="C332" s="10"/>
      <c r="D332" s="10"/>
      <c r="E332" s="10"/>
    </row>
    <row r="333" spans="1:5" x14ac:dyDescent="0.3">
      <c r="A333" s="10"/>
      <c r="B333" s="10" t="s">
        <v>1218</v>
      </c>
      <c r="C333" s="10"/>
      <c r="D333" s="10"/>
      <c r="E333" s="10"/>
    </row>
    <row r="334" spans="1:5" x14ac:dyDescent="0.3">
      <c r="A334" s="10"/>
      <c r="B334" s="10" t="s">
        <v>1219</v>
      </c>
      <c r="C334" s="10"/>
      <c r="D334" s="10"/>
      <c r="E334" s="10"/>
    </row>
    <row r="335" spans="1:5" x14ac:dyDescent="0.3">
      <c r="A335" s="10"/>
      <c r="B335" s="10" t="s">
        <v>1220</v>
      </c>
      <c r="C335" s="10"/>
      <c r="D335" s="10"/>
      <c r="E335" s="10"/>
    </row>
    <row r="336" spans="1:5" x14ac:dyDescent="0.3">
      <c r="A336" s="10"/>
      <c r="B336" s="10" t="s">
        <v>1221</v>
      </c>
      <c r="C336" s="10"/>
      <c r="D336" s="10"/>
      <c r="E336" s="10"/>
    </row>
    <row r="337" spans="1:5" x14ac:dyDescent="0.3">
      <c r="A337" s="10"/>
      <c r="B337" s="10" t="s">
        <v>1222</v>
      </c>
      <c r="C337" s="10"/>
      <c r="D337" s="10"/>
      <c r="E337" s="10"/>
    </row>
    <row r="338" spans="1:5" x14ac:dyDescent="0.3">
      <c r="A338" s="10"/>
      <c r="B338" s="10" t="s">
        <v>1223</v>
      </c>
      <c r="C338" s="10"/>
      <c r="D338" s="10"/>
      <c r="E338" s="10"/>
    </row>
    <row r="339" spans="1:5" x14ac:dyDescent="0.3">
      <c r="A339" s="10"/>
      <c r="B339" s="10" t="s">
        <v>1224</v>
      </c>
      <c r="C339" s="10"/>
      <c r="D339" s="10"/>
      <c r="E339" s="10"/>
    </row>
    <row r="340" spans="1:5" x14ac:dyDescent="0.3">
      <c r="A340" s="10"/>
      <c r="B340" s="10" t="s">
        <v>1225</v>
      </c>
      <c r="C340" s="10"/>
      <c r="D340" s="10"/>
      <c r="E340" s="10"/>
    </row>
    <row r="341" spans="1:5" x14ac:dyDescent="0.3">
      <c r="A341" s="10"/>
      <c r="B341" s="10" t="s">
        <v>1226</v>
      </c>
      <c r="C341" s="10"/>
      <c r="D341" s="10"/>
      <c r="E341" s="10"/>
    </row>
    <row r="342" spans="1:5" x14ac:dyDescent="0.3">
      <c r="A342" s="10"/>
      <c r="B342" s="10" t="s">
        <v>1227</v>
      </c>
      <c r="C342" s="10"/>
      <c r="D342" s="10"/>
      <c r="E342" s="10"/>
    </row>
    <row r="343" spans="1:5" x14ac:dyDescent="0.3">
      <c r="A343" s="10"/>
      <c r="B343" s="10" t="s">
        <v>1228</v>
      </c>
      <c r="C343" s="10"/>
      <c r="D343" s="10"/>
      <c r="E343" s="10"/>
    </row>
    <row r="344" spans="1:5" x14ac:dyDescent="0.3">
      <c r="A344" s="10"/>
      <c r="B344" s="10" t="s">
        <v>1229</v>
      </c>
      <c r="C344" s="10"/>
      <c r="D344" s="10"/>
      <c r="E344" s="10"/>
    </row>
    <row r="345" spans="1:5" x14ac:dyDescent="0.3">
      <c r="A345" s="10"/>
      <c r="B345" s="10" t="s">
        <v>1230</v>
      </c>
      <c r="C345" s="10"/>
      <c r="D345" s="10"/>
      <c r="E345" s="10"/>
    </row>
    <row r="346" spans="1:5" x14ac:dyDescent="0.3">
      <c r="A346" s="10"/>
      <c r="B346" s="10" t="s">
        <v>1231</v>
      </c>
      <c r="C346" s="10"/>
      <c r="D346" s="10"/>
      <c r="E346" s="10"/>
    </row>
    <row r="347" spans="1:5" x14ac:dyDescent="0.3">
      <c r="A347" s="10"/>
      <c r="B347" s="10" t="s">
        <v>1232</v>
      </c>
      <c r="C347" s="10"/>
      <c r="D347" s="10"/>
      <c r="E347" s="10"/>
    </row>
    <row r="348" spans="1:5" x14ac:dyDescent="0.3">
      <c r="A348" s="10"/>
      <c r="B348" s="10" t="s">
        <v>1233</v>
      </c>
      <c r="C348" s="10"/>
      <c r="D348" s="10"/>
      <c r="E348" s="10"/>
    </row>
    <row r="349" spans="1:5" x14ac:dyDescent="0.3">
      <c r="A349" s="10"/>
      <c r="B349" s="10" t="s">
        <v>1234</v>
      </c>
      <c r="C349" s="10"/>
      <c r="D349" s="10"/>
      <c r="E349" s="10"/>
    </row>
    <row r="350" spans="1:5" x14ac:dyDescent="0.3">
      <c r="A350" s="10"/>
      <c r="B350" s="10" t="s">
        <v>1235</v>
      </c>
      <c r="C350" s="10"/>
      <c r="D350" s="10"/>
      <c r="E350" s="10"/>
    </row>
    <row r="351" spans="1:5" x14ac:dyDescent="0.3">
      <c r="A351" s="10"/>
      <c r="B351" s="10" t="s">
        <v>1236</v>
      </c>
      <c r="C351" s="10"/>
      <c r="D351" s="10"/>
      <c r="E351" s="10"/>
    </row>
    <row r="352" spans="1:5" x14ac:dyDescent="0.3">
      <c r="A352" s="10"/>
      <c r="B352" s="10" t="s">
        <v>1237</v>
      </c>
      <c r="C352" s="10"/>
      <c r="D352" s="10"/>
      <c r="E352" s="10"/>
    </row>
    <row r="353" spans="1:5" x14ac:dyDescent="0.3">
      <c r="A353" s="10"/>
      <c r="B353" s="10" t="s">
        <v>1238</v>
      </c>
      <c r="C353" s="10"/>
      <c r="D353" s="10"/>
      <c r="E353" s="10"/>
    </row>
    <row r="354" spans="1:5" x14ac:dyDescent="0.3">
      <c r="A354" s="10"/>
      <c r="B354" s="10" t="s">
        <v>1239</v>
      </c>
      <c r="C354" s="10"/>
      <c r="D354" s="10"/>
      <c r="E354" s="10"/>
    </row>
    <row r="355" spans="1:5" x14ac:dyDescent="0.3">
      <c r="A355" s="10"/>
      <c r="B355" s="10" t="s">
        <v>1240</v>
      </c>
      <c r="C355" s="10"/>
      <c r="D355" s="10"/>
      <c r="E355" s="10"/>
    </row>
    <row r="356" spans="1:5" x14ac:dyDescent="0.3">
      <c r="A356" s="10"/>
      <c r="B356" s="10" t="s">
        <v>1241</v>
      </c>
      <c r="C356" s="10"/>
      <c r="D356" s="10"/>
      <c r="E356" s="10"/>
    </row>
    <row r="357" spans="1:5" x14ac:dyDescent="0.3">
      <c r="A357" s="10"/>
      <c r="B357" s="10" t="s">
        <v>1242</v>
      </c>
      <c r="C357" s="10"/>
      <c r="D357" s="10"/>
      <c r="E357" s="10"/>
    </row>
    <row r="358" spans="1:5" x14ac:dyDescent="0.3">
      <c r="A358" s="10"/>
      <c r="B358" s="10" t="s">
        <v>1243</v>
      </c>
      <c r="C358" s="10"/>
      <c r="D358" s="10"/>
      <c r="E358" s="10"/>
    </row>
    <row r="359" spans="1:5" x14ac:dyDescent="0.3">
      <c r="A359" s="10"/>
      <c r="B359" s="10" t="s">
        <v>1244</v>
      </c>
      <c r="C359" s="10"/>
      <c r="D359" s="10"/>
      <c r="E359" s="10"/>
    </row>
    <row r="360" spans="1:5" x14ac:dyDescent="0.3">
      <c r="A360" s="10"/>
      <c r="B360" s="10" t="s">
        <v>1245</v>
      </c>
      <c r="C360" s="10"/>
      <c r="D360" s="10"/>
      <c r="E360" s="10"/>
    </row>
    <row r="361" spans="1:5" x14ac:dyDescent="0.3">
      <c r="A361" s="10"/>
      <c r="B361" s="10" t="s">
        <v>1246</v>
      </c>
      <c r="C361" s="10"/>
      <c r="D361" s="10"/>
      <c r="E361" s="10"/>
    </row>
    <row r="362" spans="1:5" x14ac:dyDescent="0.3">
      <c r="A362" s="10"/>
      <c r="B362" s="10" t="s">
        <v>1247</v>
      </c>
      <c r="C362" s="10"/>
      <c r="D362" s="10"/>
      <c r="E362" s="10"/>
    </row>
    <row r="363" spans="1:5" x14ac:dyDescent="0.3">
      <c r="A363" s="10"/>
      <c r="B363" s="10" t="s">
        <v>1248</v>
      </c>
      <c r="C363" s="10"/>
      <c r="D363" s="10"/>
      <c r="E363" s="10"/>
    </row>
    <row r="364" spans="1:5" x14ac:dyDescent="0.3">
      <c r="A364" s="10"/>
      <c r="B364" s="10" t="s">
        <v>1249</v>
      </c>
      <c r="C364" s="10"/>
      <c r="D364" s="10"/>
      <c r="E364" s="10"/>
    </row>
    <row r="365" spans="1:5" x14ac:dyDescent="0.3">
      <c r="A365" s="10"/>
      <c r="B365" s="10" t="s">
        <v>1250</v>
      </c>
      <c r="C365" s="10"/>
      <c r="D365" s="10"/>
      <c r="E365" s="10"/>
    </row>
    <row r="366" spans="1:5" x14ac:dyDescent="0.3">
      <c r="A366" s="10"/>
      <c r="B366" s="10" t="s">
        <v>1251</v>
      </c>
      <c r="C366" s="10"/>
      <c r="D366" s="10"/>
      <c r="E366" s="10"/>
    </row>
    <row r="367" spans="1:5" x14ac:dyDescent="0.3">
      <c r="A367" s="10"/>
      <c r="B367" s="10" t="s">
        <v>1252</v>
      </c>
      <c r="C367" s="10"/>
      <c r="D367" s="10"/>
      <c r="E367" s="10"/>
    </row>
    <row r="368" spans="1:5" x14ac:dyDescent="0.3">
      <c r="A368" s="10"/>
      <c r="B368" s="10" t="s">
        <v>1253</v>
      </c>
      <c r="C368" s="10"/>
      <c r="D368" s="10"/>
      <c r="E368" s="10"/>
    </row>
    <row r="369" spans="1:5" x14ac:dyDescent="0.3">
      <c r="A369" s="10"/>
      <c r="B369" s="10" t="s">
        <v>1254</v>
      </c>
      <c r="C369" s="10"/>
      <c r="D369" s="10"/>
      <c r="E369" s="10"/>
    </row>
    <row r="370" spans="1:5" x14ac:dyDescent="0.3">
      <c r="A370" s="10"/>
      <c r="B370" s="10" t="s">
        <v>1255</v>
      </c>
      <c r="C370" s="10"/>
      <c r="D370" s="10"/>
      <c r="E370" s="10"/>
    </row>
    <row r="371" spans="1:5" x14ac:dyDescent="0.3">
      <c r="A371" s="10"/>
      <c r="B371" s="10" t="s">
        <v>1256</v>
      </c>
      <c r="C371" s="10"/>
      <c r="D371" s="10"/>
      <c r="E371" s="10"/>
    </row>
    <row r="372" spans="1:5" x14ac:dyDescent="0.3">
      <c r="A372" s="10"/>
      <c r="B372" s="10" t="s">
        <v>1257</v>
      </c>
      <c r="C372" s="10"/>
      <c r="D372" s="10"/>
      <c r="E372" s="10"/>
    </row>
    <row r="373" spans="1:5" x14ac:dyDescent="0.3">
      <c r="A373" s="10"/>
      <c r="B373" s="10" t="s">
        <v>1258</v>
      </c>
      <c r="C373" s="10"/>
      <c r="D373" s="10"/>
      <c r="E373" s="10"/>
    </row>
    <row r="374" spans="1:5" x14ac:dyDescent="0.3">
      <c r="A374" s="10"/>
      <c r="B374" s="10" t="s">
        <v>1259</v>
      </c>
      <c r="C374" s="10"/>
      <c r="D374" s="10"/>
      <c r="E374" s="10"/>
    </row>
    <row r="375" spans="1:5" x14ac:dyDescent="0.3">
      <c r="A375" s="10"/>
      <c r="B375" s="10" t="s">
        <v>1260</v>
      </c>
      <c r="C375" s="10"/>
      <c r="D375" s="10"/>
      <c r="E375" s="10"/>
    </row>
    <row r="376" spans="1:5" x14ac:dyDescent="0.3">
      <c r="A376" s="10"/>
      <c r="B376" s="10" t="s">
        <v>1261</v>
      </c>
      <c r="C376" s="10"/>
      <c r="D376" s="10"/>
      <c r="E376" s="10"/>
    </row>
    <row r="377" spans="1:5" x14ac:dyDescent="0.3">
      <c r="A377" s="10"/>
      <c r="B377" s="10" t="s">
        <v>1262</v>
      </c>
      <c r="C377" s="10"/>
      <c r="D377" s="10"/>
      <c r="E377" s="10"/>
    </row>
    <row r="378" spans="1:5" x14ac:dyDescent="0.3">
      <c r="A378" s="10"/>
      <c r="B378" s="10" t="s">
        <v>1263</v>
      </c>
      <c r="C378" s="10"/>
      <c r="D378" s="10"/>
      <c r="E378" s="10"/>
    </row>
    <row r="379" spans="1:5" x14ac:dyDescent="0.3">
      <c r="A379" s="10"/>
      <c r="B379" s="10" t="s">
        <v>1264</v>
      </c>
      <c r="C379" s="10"/>
      <c r="D379" s="10"/>
      <c r="E379" s="10"/>
    </row>
    <row r="380" spans="1:5" x14ac:dyDescent="0.3">
      <c r="A380" s="10"/>
      <c r="B380" s="10" t="s">
        <v>1265</v>
      </c>
      <c r="C380" s="10"/>
      <c r="D380" s="10"/>
      <c r="E380" s="10"/>
    </row>
    <row r="381" spans="1:5" x14ac:dyDescent="0.3">
      <c r="A381" s="10"/>
      <c r="B381" s="10" t="s">
        <v>1266</v>
      </c>
      <c r="C381" s="10"/>
      <c r="D381" s="10"/>
      <c r="E381" s="10"/>
    </row>
    <row r="382" spans="1:5" x14ac:dyDescent="0.3">
      <c r="A382" s="10"/>
      <c r="B382" s="10" t="s">
        <v>1267</v>
      </c>
      <c r="C382" s="10"/>
      <c r="D382" s="10"/>
      <c r="E382" s="10"/>
    </row>
    <row r="383" spans="1:5" x14ac:dyDescent="0.3">
      <c r="A383" s="10"/>
      <c r="B383" s="10" t="s">
        <v>1268</v>
      </c>
      <c r="C383" s="10"/>
      <c r="D383" s="10"/>
      <c r="E383" s="10"/>
    </row>
    <row r="384" spans="1:5" x14ac:dyDescent="0.3">
      <c r="A384" s="10"/>
      <c r="B384" s="10" t="s">
        <v>1269</v>
      </c>
      <c r="C384" s="10"/>
      <c r="D384" s="10"/>
      <c r="E384" s="10"/>
    </row>
    <row r="385" spans="1:5" x14ac:dyDescent="0.3">
      <c r="A385" s="10"/>
      <c r="B385" s="10" t="s">
        <v>1270</v>
      </c>
      <c r="C385" s="10"/>
      <c r="D385" s="10"/>
      <c r="E385" s="10"/>
    </row>
    <row r="386" spans="1:5" x14ac:dyDescent="0.3">
      <c r="A386" s="10"/>
      <c r="B386" s="10" t="s">
        <v>1271</v>
      </c>
      <c r="C386" s="10"/>
      <c r="D386" s="10"/>
      <c r="E386" s="10"/>
    </row>
    <row r="387" spans="1:5" x14ac:dyDescent="0.3">
      <c r="A387" s="10"/>
      <c r="B387" s="10" t="s">
        <v>1272</v>
      </c>
      <c r="C387" s="10"/>
      <c r="D387" s="10"/>
      <c r="E387" s="10"/>
    </row>
    <row r="388" spans="1:5" x14ac:dyDescent="0.3">
      <c r="A388" s="10"/>
      <c r="B388" s="10" t="s">
        <v>1273</v>
      </c>
      <c r="C388" s="10"/>
      <c r="D388" s="10"/>
      <c r="E388" s="10"/>
    </row>
    <row r="389" spans="1:5" x14ac:dyDescent="0.3">
      <c r="A389" s="10"/>
      <c r="B389" s="10" t="s">
        <v>1274</v>
      </c>
      <c r="C389" s="10"/>
      <c r="D389" s="10"/>
      <c r="E389" s="10"/>
    </row>
    <row r="390" spans="1:5" x14ac:dyDescent="0.3">
      <c r="A390" s="10"/>
      <c r="B390" s="10" t="s">
        <v>1275</v>
      </c>
      <c r="C390" s="10"/>
      <c r="D390" s="10"/>
      <c r="E390" s="10"/>
    </row>
    <row r="391" spans="1:5" x14ac:dyDescent="0.3">
      <c r="A391" s="10"/>
      <c r="B391" s="10" t="s">
        <v>1276</v>
      </c>
      <c r="C391" s="10"/>
      <c r="D391" s="10"/>
      <c r="E391" s="10"/>
    </row>
    <row r="392" spans="1:5" x14ac:dyDescent="0.3">
      <c r="A392" s="10"/>
      <c r="B392" s="10" t="s">
        <v>1277</v>
      </c>
      <c r="C392" s="10"/>
      <c r="D392" s="10"/>
      <c r="E392" s="10"/>
    </row>
    <row r="393" spans="1:5" x14ac:dyDescent="0.3">
      <c r="A393" s="10"/>
      <c r="B393" s="10" t="s">
        <v>1278</v>
      </c>
      <c r="C393" s="10"/>
      <c r="D393" s="10"/>
      <c r="E393" s="10"/>
    </row>
    <row r="394" spans="1:5" x14ac:dyDescent="0.3">
      <c r="A394" s="10"/>
      <c r="B394" s="10" t="s">
        <v>1279</v>
      </c>
      <c r="C394" s="10"/>
      <c r="D394" s="10"/>
      <c r="E394" s="10"/>
    </row>
    <row r="395" spans="1:5" x14ac:dyDescent="0.3">
      <c r="A395" s="10"/>
      <c r="B395" s="10" t="s">
        <v>1280</v>
      </c>
      <c r="C395" s="10"/>
      <c r="D395" s="10"/>
      <c r="E395" s="10"/>
    </row>
    <row r="396" spans="1:5" x14ac:dyDescent="0.3">
      <c r="A396" s="10"/>
      <c r="B396" s="10" t="s">
        <v>1281</v>
      </c>
      <c r="C396" s="10"/>
      <c r="D396" s="10"/>
      <c r="E396" s="10"/>
    </row>
    <row r="397" spans="1:5" x14ac:dyDescent="0.3">
      <c r="A397" s="10"/>
      <c r="B397" s="10" t="s">
        <v>1282</v>
      </c>
      <c r="C397" s="10"/>
      <c r="D397" s="10"/>
      <c r="E397" s="10"/>
    </row>
    <row r="398" spans="1:5" x14ac:dyDescent="0.3">
      <c r="A398" s="10"/>
      <c r="B398" s="10" t="s">
        <v>1283</v>
      </c>
      <c r="C398" s="10"/>
      <c r="D398" s="10"/>
      <c r="E398" s="10"/>
    </row>
    <row r="399" spans="1:5" x14ac:dyDescent="0.3">
      <c r="A399" s="10"/>
      <c r="B399" s="10" t="s">
        <v>1284</v>
      </c>
      <c r="C399" s="10"/>
      <c r="D399" s="10"/>
      <c r="E399" s="10"/>
    </row>
    <row r="400" spans="1:5" x14ac:dyDescent="0.3">
      <c r="A400" s="10"/>
      <c r="B400" s="10" t="s">
        <v>1285</v>
      </c>
      <c r="C400" s="10"/>
      <c r="D400" s="10"/>
      <c r="E400" s="10"/>
    </row>
    <row r="401" spans="1:5" x14ac:dyDescent="0.3">
      <c r="A401" s="10"/>
      <c r="B401" s="10" t="s">
        <v>1286</v>
      </c>
      <c r="C401" s="10"/>
      <c r="D401" s="10"/>
      <c r="E401" s="10"/>
    </row>
    <row r="402" spans="1:5" x14ac:dyDescent="0.3">
      <c r="A402" s="10"/>
      <c r="B402" s="10" t="s">
        <v>1287</v>
      </c>
      <c r="C402" s="10"/>
      <c r="D402" s="10"/>
      <c r="E402" s="10"/>
    </row>
    <row r="403" spans="1:5" x14ac:dyDescent="0.3">
      <c r="A403" s="10"/>
      <c r="B403" s="10" t="s">
        <v>1288</v>
      </c>
      <c r="C403" s="10"/>
      <c r="D403" s="10"/>
      <c r="E403" s="10"/>
    </row>
    <row r="404" spans="1:5" x14ac:dyDescent="0.3">
      <c r="A404" s="10"/>
      <c r="B404" s="10" t="s">
        <v>1289</v>
      </c>
      <c r="C404" s="10"/>
      <c r="D404" s="10"/>
      <c r="E404" s="10"/>
    </row>
    <row r="405" spans="1:5" x14ac:dyDescent="0.3">
      <c r="A405" s="10"/>
      <c r="B405" s="10" t="s">
        <v>1290</v>
      </c>
      <c r="C405" s="10"/>
      <c r="D405" s="10"/>
      <c r="E405" s="10"/>
    </row>
    <row r="406" spans="1:5" x14ac:dyDescent="0.3">
      <c r="A406" s="10"/>
      <c r="B406" s="10" t="s">
        <v>1291</v>
      </c>
      <c r="C406" s="10"/>
      <c r="D406" s="10"/>
      <c r="E406" s="10"/>
    </row>
    <row r="407" spans="1:5" x14ac:dyDescent="0.3">
      <c r="A407" s="10"/>
      <c r="B407" s="10" t="s">
        <v>1292</v>
      </c>
      <c r="C407" s="10"/>
      <c r="D407" s="10"/>
      <c r="E407" s="10"/>
    </row>
    <row r="408" spans="1:5" x14ac:dyDescent="0.3">
      <c r="A408" s="10"/>
      <c r="B408" s="10" t="s">
        <v>1293</v>
      </c>
      <c r="C408" s="10"/>
      <c r="D408" s="10"/>
      <c r="E408" s="10"/>
    </row>
    <row r="409" spans="1:5" x14ac:dyDescent="0.3">
      <c r="A409" s="10"/>
      <c r="B409" s="10" t="s">
        <v>1294</v>
      </c>
      <c r="C409" s="10"/>
      <c r="D409" s="10"/>
      <c r="E409" s="10"/>
    </row>
    <row r="410" spans="1:5" x14ac:dyDescent="0.3">
      <c r="A410" s="10"/>
      <c r="B410" s="10" t="s">
        <v>1295</v>
      </c>
      <c r="C410" s="10"/>
      <c r="D410" s="10"/>
      <c r="E410" s="10"/>
    </row>
    <row r="411" spans="1:5" x14ac:dyDescent="0.3">
      <c r="A411" s="10"/>
      <c r="B411" s="10" t="s">
        <v>1296</v>
      </c>
      <c r="C411" s="10"/>
      <c r="D411" s="10"/>
      <c r="E411" s="10"/>
    </row>
    <row r="412" spans="1:5" x14ac:dyDescent="0.3">
      <c r="A412" s="10"/>
      <c r="B412" s="10" t="s">
        <v>1297</v>
      </c>
      <c r="C412" s="10"/>
      <c r="D412" s="10"/>
      <c r="E412" s="10"/>
    </row>
    <row r="413" spans="1:5" x14ac:dyDescent="0.3">
      <c r="A413" s="10"/>
      <c r="B413" s="10" t="s">
        <v>1298</v>
      </c>
      <c r="C413" s="10"/>
      <c r="D413" s="10"/>
      <c r="E413" s="10"/>
    </row>
    <row r="414" spans="1:5" x14ac:dyDescent="0.3">
      <c r="A414" s="10"/>
      <c r="B414" s="10" t="s">
        <v>1299</v>
      </c>
      <c r="C414" s="10"/>
      <c r="D414" s="10"/>
      <c r="E414" s="10"/>
    </row>
    <row r="415" spans="1:5" x14ac:dyDescent="0.3">
      <c r="A415" s="10"/>
      <c r="B415" s="10" t="s">
        <v>1300</v>
      </c>
      <c r="C415" s="10"/>
      <c r="D415" s="10"/>
      <c r="E415" s="10"/>
    </row>
    <row r="416" spans="1:5" x14ac:dyDescent="0.3">
      <c r="A416" s="10"/>
      <c r="B416" s="10" t="s">
        <v>1301</v>
      </c>
      <c r="C416" s="10"/>
      <c r="D416" s="10"/>
      <c r="E416" s="10"/>
    </row>
    <row r="417" spans="1:5" x14ac:dyDescent="0.3">
      <c r="A417" s="10"/>
      <c r="B417" s="10" t="s">
        <v>1302</v>
      </c>
      <c r="C417" s="10"/>
      <c r="D417" s="10"/>
      <c r="E417" s="10"/>
    </row>
    <row r="418" spans="1:5" x14ac:dyDescent="0.3">
      <c r="A418" s="10"/>
      <c r="B418" s="10" t="s">
        <v>1303</v>
      </c>
      <c r="C418" s="10"/>
      <c r="D418" s="10"/>
      <c r="E418" s="10"/>
    </row>
    <row r="419" spans="1:5" x14ac:dyDescent="0.3">
      <c r="A419" s="10"/>
      <c r="B419" s="10" t="s">
        <v>1304</v>
      </c>
      <c r="C419" s="10"/>
      <c r="D419" s="10"/>
      <c r="E419" s="10"/>
    </row>
    <row r="420" spans="1:5" x14ac:dyDescent="0.3">
      <c r="A420" s="10"/>
      <c r="B420" s="10" t="s">
        <v>1305</v>
      </c>
      <c r="C420" s="10"/>
      <c r="D420" s="10"/>
      <c r="E420" s="10"/>
    </row>
    <row r="421" spans="1:5" x14ac:dyDescent="0.3">
      <c r="A421" s="10"/>
      <c r="B421" s="10" t="s">
        <v>1306</v>
      </c>
      <c r="C421" s="10"/>
      <c r="D421" s="10"/>
      <c r="E421" s="10"/>
    </row>
    <row r="422" spans="1:5" x14ac:dyDescent="0.3">
      <c r="A422" s="10"/>
      <c r="B422" s="10" t="s">
        <v>1307</v>
      </c>
      <c r="C422" s="10"/>
      <c r="D422" s="10"/>
      <c r="E422" s="10"/>
    </row>
    <row r="423" spans="1:5" x14ac:dyDescent="0.3">
      <c r="A423" s="10"/>
      <c r="B423" s="10" t="s">
        <v>1308</v>
      </c>
      <c r="C423" s="10"/>
      <c r="D423" s="10"/>
      <c r="E423" s="10"/>
    </row>
    <row r="424" spans="1:5" x14ac:dyDescent="0.3">
      <c r="A424" s="10"/>
      <c r="B424" s="10" t="s">
        <v>1309</v>
      </c>
      <c r="C424" s="10"/>
      <c r="D424" s="10"/>
      <c r="E424" s="10"/>
    </row>
    <row r="425" spans="1:5" x14ac:dyDescent="0.3">
      <c r="A425" s="10"/>
      <c r="B425" s="10" t="s">
        <v>1310</v>
      </c>
      <c r="C425" s="10"/>
      <c r="D425" s="10"/>
      <c r="E425" s="10"/>
    </row>
    <row r="426" spans="1:5" x14ac:dyDescent="0.3">
      <c r="A426" s="10"/>
      <c r="B426" s="10" t="s">
        <v>1311</v>
      </c>
      <c r="C426" s="10"/>
      <c r="D426" s="10"/>
      <c r="E426" s="10"/>
    </row>
    <row r="427" spans="1:5" x14ac:dyDescent="0.3">
      <c r="A427" s="10"/>
      <c r="B427" s="10" t="s">
        <v>1312</v>
      </c>
      <c r="C427" s="10"/>
      <c r="D427" s="10"/>
      <c r="E427" s="10"/>
    </row>
    <row r="428" spans="1:5" x14ac:dyDescent="0.3">
      <c r="A428" s="10"/>
      <c r="B428" s="10" t="s">
        <v>1313</v>
      </c>
      <c r="C428" s="10"/>
      <c r="D428" s="10"/>
      <c r="E428" s="10"/>
    </row>
    <row r="429" spans="1:5" x14ac:dyDescent="0.3">
      <c r="A429" s="10"/>
      <c r="B429" s="10" t="s">
        <v>1314</v>
      </c>
      <c r="C429" s="10"/>
      <c r="D429" s="10"/>
      <c r="E429" s="10"/>
    </row>
    <row r="430" spans="1:5" x14ac:dyDescent="0.3">
      <c r="A430" s="10"/>
      <c r="B430" s="10" t="s">
        <v>1315</v>
      </c>
      <c r="C430" s="10"/>
      <c r="D430" s="10"/>
      <c r="E430" s="10"/>
    </row>
    <row r="431" spans="1:5" x14ac:dyDescent="0.3">
      <c r="A431" s="10"/>
      <c r="B431" s="10" t="s">
        <v>1316</v>
      </c>
      <c r="C431" s="10"/>
      <c r="D431" s="10"/>
      <c r="E431" s="10"/>
    </row>
    <row r="432" spans="1:5" x14ac:dyDescent="0.3">
      <c r="A432" s="10"/>
      <c r="B432" s="10" t="s">
        <v>1317</v>
      </c>
      <c r="C432" s="10"/>
      <c r="D432" s="10"/>
      <c r="E432" s="10"/>
    </row>
    <row r="433" spans="1:5" x14ac:dyDescent="0.3">
      <c r="A433" s="10"/>
      <c r="B433" s="10" t="s">
        <v>1318</v>
      </c>
      <c r="C433" s="10"/>
      <c r="D433" s="10"/>
      <c r="E433" s="10"/>
    </row>
    <row r="434" spans="1:5" x14ac:dyDescent="0.3">
      <c r="A434" s="10"/>
      <c r="B434" s="10" t="s">
        <v>1319</v>
      </c>
      <c r="C434" s="10"/>
      <c r="D434" s="10"/>
      <c r="E434" s="10"/>
    </row>
    <row r="435" spans="1:5" x14ac:dyDescent="0.3">
      <c r="A435" s="10"/>
      <c r="B435" s="10" t="s">
        <v>1320</v>
      </c>
      <c r="C435" s="10"/>
      <c r="D435" s="10"/>
      <c r="E435" s="10"/>
    </row>
    <row r="436" spans="1:5" x14ac:dyDescent="0.3">
      <c r="A436" s="10"/>
      <c r="B436" s="10" t="s">
        <v>1321</v>
      </c>
      <c r="C436" s="10"/>
      <c r="D436" s="10"/>
      <c r="E436" s="10"/>
    </row>
    <row r="437" spans="1:5" x14ac:dyDescent="0.3">
      <c r="A437" s="10"/>
      <c r="B437" s="10" t="s">
        <v>1322</v>
      </c>
      <c r="C437" s="10"/>
      <c r="D437" s="10"/>
      <c r="E437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1"/>
  <sheetViews>
    <sheetView workbookViewId="0"/>
  </sheetViews>
  <sheetFormatPr defaultRowHeight="14.4" x14ac:dyDescent="0.3"/>
  <cols>
    <col min="1" max="1" width="5" customWidth="1"/>
    <col min="2" max="2" width="12" customWidth="1"/>
    <col min="3" max="3" width="30" customWidth="1"/>
    <col min="4" max="4" width="8" customWidth="1"/>
    <col min="5" max="8" width="30" customWidth="1"/>
    <col min="9" max="10" width="12" customWidth="1"/>
  </cols>
  <sheetData>
    <row r="1" spans="1:10" x14ac:dyDescent="0.3">
      <c r="A1" s="1" t="s">
        <v>0</v>
      </c>
      <c r="B1" s="1" t="s">
        <v>2</v>
      </c>
      <c r="C1" s="1" t="s">
        <v>5</v>
      </c>
      <c r="D1" s="1" t="s">
        <v>1323</v>
      </c>
      <c r="E1" s="1" t="s">
        <v>1324</v>
      </c>
      <c r="F1" s="1" t="s">
        <v>1325</v>
      </c>
      <c r="G1" s="1" t="s">
        <v>1326</v>
      </c>
      <c r="H1" s="1" t="s">
        <v>1327</v>
      </c>
      <c r="I1" s="1" t="s">
        <v>1328</v>
      </c>
      <c r="J1" s="1" t="s">
        <v>1329</v>
      </c>
    </row>
    <row r="2" spans="1:10" x14ac:dyDescent="0.3">
      <c r="A2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>
        <v>6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>
        <v>7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>
        <v>8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>
        <v>9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>
        <v>10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>
        <v>11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>
        <v>12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>
        <v>13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>
        <v>14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>
        <v>15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>
        <v>16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>
        <v>17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>
        <v>18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>
        <v>19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>
        <v>20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>
        <v>21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>
        <v>22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>
        <v>23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>
        <v>24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>
        <v>25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>
        <v>26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>
        <v>27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>
        <v>28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>
        <v>29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>
        <v>30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>
        <v>31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>
        <v>32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>
        <v>33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>
        <v>34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>
        <v>35</v>
      </c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>
        <v>36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>
        <v>37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">
      <c r="A39">
        <v>38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">
      <c r="A40">
        <v>39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>
        <v>40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>
        <v>41</v>
      </c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>
        <v>42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>
        <v>43</v>
      </c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">
      <c r="A45">
        <v>44</v>
      </c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">
      <c r="A46">
        <v>45</v>
      </c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">
      <c r="A47">
        <v>46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">
      <c r="A48">
        <v>47</v>
      </c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">
      <c r="A49">
        <v>48</v>
      </c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">
      <c r="A50">
        <v>49</v>
      </c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3">
      <c r="A51">
        <v>50</v>
      </c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3">
      <c r="A52">
        <v>51</v>
      </c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3">
      <c r="A53">
        <v>52</v>
      </c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">
      <c r="A54">
        <v>53</v>
      </c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">
      <c r="A55">
        <v>54</v>
      </c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3">
      <c r="A56">
        <v>55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3">
      <c r="A57">
        <v>56</v>
      </c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3">
      <c r="A58">
        <v>57</v>
      </c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3">
      <c r="A59">
        <v>58</v>
      </c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3">
      <c r="A60">
        <v>59</v>
      </c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3">
      <c r="A61">
        <v>60</v>
      </c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3">
      <c r="A62">
        <v>61</v>
      </c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">
      <c r="A63">
        <v>62</v>
      </c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3">
      <c r="A64">
        <v>63</v>
      </c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3">
      <c r="A65">
        <v>64</v>
      </c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3">
      <c r="A66">
        <v>65</v>
      </c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3">
      <c r="A67">
        <v>66</v>
      </c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3">
      <c r="A68">
        <v>67</v>
      </c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3">
      <c r="A69">
        <v>68</v>
      </c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3">
      <c r="A70">
        <v>69</v>
      </c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3">
      <c r="A71">
        <v>70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3">
      <c r="A72">
        <v>71</v>
      </c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3">
      <c r="A73">
        <v>72</v>
      </c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3">
      <c r="A74">
        <v>73</v>
      </c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3">
      <c r="A75">
        <v>74</v>
      </c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3">
      <c r="A76">
        <v>75</v>
      </c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3">
      <c r="A77">
        <v>76</v>
      </c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3">
      <c r="A78">
        <v>77</v>
      </c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3">
      <c r="A79">
        <v>78</v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">
      <c r="A80">
        <v>79</v>
      </c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3">
      <c r="A81">
        <v>80</v>
      </c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3">
      <c r="A82">
        <v>81</v>
      </c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3">
      <c r="A83">
        <v>82</v>
      </c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3">
      <c r="A84">
        <v>83</v>
      </c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">
      <c r="A85">
        <v>84</v>
      </c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">
      <c r="A86">
        <v>85</v>
      </c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">
      <c r="A87">
        <v>86</v>
      </c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3">
      <c r="A88">
        <v>87</v>
      </c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">
      <c r="A89">
        <v>88</v>
      </c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3">
      <c r="A90">
        <v>89</v>
      </c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">
      <c r="A91">
        <v>90</v>
      </c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">
      <c r="A92">
        <v>91</v>
      </c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3">
      <c r="A93">
        <v>92</v>
      </c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3">
      <c r="A94">
        <v>93</v>
      </c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3">
      <c r="A95">
        <v>94</v>
      </c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3">
      <c r="A96">
        <v>95</v>
      </c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3">
      <c r="A97">
        <v>96</v>
      </c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3">
      <c r="A98">
        <v>97</v>
      </c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3">
      <c r="A99">
        <v>98</v>
      </c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3">
      <c r="A100">
        <v>99</v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3">
      <c r="A101">
        <v>100</v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3">
      <c r="A102">
        <v>101</v>
      </c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3">
      <c r="A103">
        <v>102</v>
      </c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3">
      <c r="A104">
        <v>103</v>
      </c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3">
      <c r="A105">
        <v>104</v>
      </c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3">
      <c r="A106">
        <v>105</v>
      </c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3">
      <c r="A107">
        <v>106</v>
      </c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3">
      <c r="A108">
        <v>107</v>
      </c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3">
      <c r="A109">
        <v>108</v>
      </c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3">
      <c r="A110">
        <v>109</v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3">
      <c r="A111">
        <v>110</v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3">
      <c r="A112">
        <v>111</v>
      </c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3">
      <c r="A113">
        <v>112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3">
      <c r="A114">
        <v>113</v>
      </c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3">
      <c r="A115">
        <v>114</v>
      </c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3">
      <c r="A116">
        <v>115</v>
      </c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3">
      <c r="A117">
        <v>116</v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3">
      <c r="A118">
        <v>117</v>
      </c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3">
      <c r="A119">
        <v>118</v>
      </c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3">
      <c r="A120">
        <v>119</v>
      </c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3">
      <c r="A121">
        <v>120</v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3">
      <c r="A122">
        <v>121</v>
      </c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3">
      <c r="A123">
        <v>122</v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3">
      <c r="A124">
        <v>123</v>
      </c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3">
      <c r="A125">
        <v>124</v>
      </c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3">
      <c r="A126">
        <v>125</v>
      </c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3">
      <c r="A127">
        <v>126</v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3">
      <c r="A128">
        <v>127</v>
      </c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3">
      <c r="A129">
        <v>128</v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3">
      <c r="A130">
        <v>129</v>
      </c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3">
      <c r="A131">
        <v>130</v>
      </c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3">
      <c r="A132">
        <v>131</v>
      </c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3">
      <c r="A133">
        <v>132</v>
      </c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3">
      <c r="A134">
        <v>133</v>
      </c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3">
      <c r="A135">
        <v>134</v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3">
      <c r="A136">
        <v>135</v>
      </c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3">
      <c r="A137">
        <v>136</v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3">
      <c r="A138">
        <v>137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3">
      <c r="A139">
        <v>138</v>
      </c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3">
      <c r="A140">
        <v>139</v>
      </c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3">
      <c r="A141">
        <v>140</v>
      </c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3">
      <c r="A142">
        <v>141</v>
      </c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3">
      <c r="A143">
        <v>142</v>
      </c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3">
      <c r="A144">
        <v>143</v>
      </c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3">
      <c r="A145">
        <v>144</v>
      </c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3">
      <c r="A146">
        <v>145</v>
      </c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3">
      <c r="A147">
        <v>146</v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3">
      <c r="A148">
        <v>147</v>
      </c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3">
      <c r="A149">
        <v>148</v>
      </c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3">
      <c r="A150">
        <v>149</v>
      </c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3">
      <c r="A151">
        <v>150</v>
      </c>
      <c r="B151" s="2"/>
      <c r="C151" s="2"/>
      <c r="D151" s="2"/>
      <c r="E151" s="2"/>
      <c r="F151" s="2"/>
      <c r="G151" s="2"/>
      <c r="H151" s="2"/>
      <c r="I151" s="2"/>
      <c r="J15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Tracker</vt:lpstr>
      <vt:lpstr>Weekly Reviews</vt:lpstr>
      <vt:lpstr>Metrics Dashboard</vt:lpstr>
      <vt:lpstr>Skills Gained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Asis Sharma</cp:lastModifiedBy>
  <dcterms:created xsi:type="dcterms:W3CDTF">2026-01-31T18:49:21Z</dcterms:created>
  <dcterms:modified xsi:type="dcterms:W3CDTF">2026-01-31T19:23:46Z</dcterms:modified>
</cp:coreProperties>
</file>